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istrator\Videos\dashboard\END TO END DASHBOARD PROJECT IN EXCEL\"/>
    </mc:Choice>
  </mc:AlternateContent>
  <xr:revisionPtr revIDLastSave="0" documentId="8_{8E7D9CA4-6AA1-449A-85CE-9EBE7FE04AC3}" xr6:coauthVersionLast="47" xr6:coauthVersionMax="47" xr10:uidLastSave="{00000000-0000-0000-0000-000000000000}"/>
  <bookViews>
    <workbookView xWindow="-120" yWindow="-120" windowWidth="20730" windowHeight="11160" xr2:uid="{265E20A8-1D73-438A-99D0-E4D0AAB5F52E}"/>
  </bookViews>
  <sheets>
    <sheet name="Dashboard" sheetId="2" r:id="rId1"/>
    <sheet name="Patient satisfaction score " sheetId="8" r:id="rId2"/>
    <sheet name="Pivot Report" sheetId="1" r:id="rId3"/>
    <sheet name="Daily ER No of patient" sheetId="5" r:id="rId4"/>
    <sheet name="Daily patient waiting time" sheetId="7" r:id="rId5"/>
  </sheets>
  <definedNames>
    <definedName name="Slicer_Date__Month">#N/A</definedName>
    <definedName name="Slicer_Date__Year">#N/A</definedName>
  </definedNames>
  <calcPr calcId="191029"/>
  <pivotCaches>
    <pivotCache cacheId="1184" r:id="rId6"/>
    <pivotCache cacheId="1187" r:id="rId7"/>
    <pivotCache cacheId="1190" r:id="rId8"/>
    <pivotCache cacheId="1193" r:id="rId9"/>
    <pivotCache cacheId="1196" r:id="rId10"/>
    <pivotCache cacheId="1199" r:id="rId11"/>
    <pivotCache cacheId="1202" r:id="rId12"/>
    <pivotCache cacheId="1205" r:id="rId13"/>
    <pivotCache cacheId="1208" r:id="rId14"/>
    <pivotCache cacheId="1211" r:id="rId15"/>
    <pivotCache cacheId="1214" r:id="rId16"/>
    <pivotCache cacheId="1217" r:id="rId17"/>
    <pivotCache cacheId="1220" r:id="rId18"/>
  </pivotCaches>
  <extLst>
    <ext xmlns:x14="http://schemas.microsoft.com/office/spreadsheetml/2009/9/main" uri="{876F7934-8845-4945-9796-88D515C7AA90}">
      <x14:pivotCaches>
        <pivotCache cacheId="169"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Clean_b0e363b1-0036-45fd-8e26-50776f19d085" name="Hospital_Emergency_Room_Clean" connection="Query - Hospital_Emergency_Room_Clean"/>
          <x15:modelTable id="Calender_Table_c544d20e-1175-4ba0-855e-7249253111f8" name="Calender_Table" connection="Query - Calender_Table"/>
        </x15:modelTables>
        <x15:modelRelationships>
          <x15:modelRelationship fromTable="Hospital_Emergency_Room_Clean"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3" i="1" l="1"/>
  <c r="AC23" i="1"/>
  <c r="AD23" i="1"/>
  <c r="AB24" i="1"/>
  <c r="AC24" i="1"/>
  <c r="AD24" i="1"/>
  <c r="B4" i="1"/>
  <c r="G4" i="1"/>
  <c r="E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D63A56-7995-46BF-A5B0-FE8720446F94}" name="Query - Calender_Table" description="Connection to the 'Calender_Table' query in the workbook." type="100" refreshedVersion="8" minRefreshableVersion="5">
    <extLst>
      <ext xmlns:x15="http://schemas.microsoft.com/office/spreadsheetml/2010/11/main" uri="{DE250136-89BD-433C-8126-D09CA5730AF9}">
        <x15:connection id="6404bf1f-04e4-4c2b-b111-e1173ed9a82f"/>
      </ext>
    </extLst>
  </connection>
  <connection id="2" xr16:uid="{D83A93BE-F97D-4C68-835C-2B1232447937}" name="Query - Hospital_Emergency_Room_Clean" description="Connection to the 'Hospital_Emergency_Room_Clean' query in the workbook." type="100" refreshedVersion="8" minRefreshableVersion="5">
    <extLst>
      <ext xmlns:x15="http://schemas.microsoft.com/office/spreadsheetml/2010/11/main" uri="{DE250136-89BD-433C-8126-D09CA5730AF9}">
        <x15:connection id="4f24d749-6685-4d18-9847-fc15180d4dbf"/>
      </ext>
    </extLst>
  </connection>
  <connection id="3" xr16:uid="{640BCC84-5778-4DB0-80BC-2D11E302213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<sst xmlns="http://schemas.openxmlformats.org/spreadsheetml/2006/main" count="154" uniqueCount="67">
  <si>
    <t>Count of Patient Id</t>
  </si>
  <si>
    <t>Average of Patient Satisfaction Score</t>
  </si>
  <si>
    <t>Average of Patient Waittime</t>
  </si>
  <si>
    <t>Row Labels</t>
  </si>
  <si>
    <t>Grand Total</t>
  </si>
  <si>
    <t>Distinct Count of Patient Id</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</si>
  <si>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</si>
  <si>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</si>
  <si>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</si>
  <si>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</si>
  <si>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</si>
  <si>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</si>
  <si>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</si>
  <si>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</si>
  <si>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</si>
  <si>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</si>
  <si>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</si>
  <si>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</si>
  <si>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</si>
  <si>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</si>
  <si>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</si>
  <si>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</si>
  <si>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Delay</t>
  </si>
  <si>
    <t>Ontime</t>
  </si>
  <si>
    <t>Count of Patient Wating Status</t>
  </si>
  <si>
    <t>Count of Patient Gender</t>
  </si>
  <si>
    <t>Female</t>
  </si>
  <si>
    <t>Male</t>
  </si>
  <si>
    <t>Cardiology</t>
  </si>
  <si>
    <t>Gastroenterology</t>
  </si>
  <si>
    <t>General Practice</t>
  </si>
  <si>
    <t>Neurology</t>
  </si>
  <si>
    <t>None</t>
  </si>
  <si>
    <t>Orthopedics</t>
  </si>
  <si>
    <t>Physiotherapy</t>
  </si>
  <si>
    <t>Renal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</si>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</sst>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5"/>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applyNumberFormat="1"/>
    <xf numFmtId="0" fontId="0" fillId="2" borderId="0" xfId="0" applyFill="1"/>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2" borderId="0" xfId="0" applyFont="1" applyFill="1"/>
    <xf numFmtId="0" fontId="1" fillId="0" borderId="0" xfId="0" applyFont="1"/>
    <xf numFmtId="0" fontId="0" fillId="3" borderId="0" xfId="0" applyFill="1"/>
    <xf numFmtId="0" fontId="0" fillId="4" borderId="0" xfId="0" applyFill="1"/>
    <xf numFmtId="10" fontId="0" fillId="0" borderId="0" xfId="0" applyNumberFormat="1"/>
    <xf numFmtId="9" fontId="0" fillId="0" borderId="0" xfId="1" applyFont="1" applyAlignment="1">
      <alignment horizontal="left"/>
    </xf>
    <xf numFmtId="0" fontId="0" fillId="5" borderId="0" xfId="0" applyFill="1" applyAlignment="1">
      <alignment horizontal="left"/>
    </xf>
    <xf numFmtId="0" fontId="0" fillId="5" borderId="0" xfId="0" applyFill="1"/>
    <xf numFmtId="0" fontId="0" fillId="0" borderId="0" xfId="0" applyFill="1"/>
  </cellXfs>
  <cellStyles count="2">
    <cellStyle name="Normal" xfId="0" builtinId="0"/>
    <cellStyle name="Percent" xfId="1" builtinId="5"/>
  </cellStyles>
  <dxfs count="312">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font>
        <b/>
        <color theme="1"/>
      </font>
      <border>
        <bottom style="thin">
          <color theme="5"/>
        </bottom>
        <vertical/>
        <horizontal/>
      </border>
    </dxf>
    <dxf>
      <font>
        <sz val="7"/>
        <color theme="1"/>
      </font>
      <border diagonalUp="0" diagonalDown="0">
        <left/>
        <right/>
        <top/>
        <bottom/>
        <vertical/>
        <horizontal/>
      </border>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font>
        <b/>
        <color theme="1"/>
      </font>
      <border>
        <bottom style="thin">
          <color theme="5"/>
        </bottom>
        <vertical/>
        <horizontal/>
      </border>
    </dxf>
    <dxf>
      <font>
        <sz val="7"/>
        <color theme="1"/>
      </font>
      <fill>
        <patternFill>
          <bgColor theme="4" tint="0.39994506668294322"/>
        </patternFill>
      </fill>
      <border>
        <left style="thin">
          <color theme="5"/>
        </left>
        <right style="thin">
          <color theme="5"/>
        </right>
        <top style="thin">
          <color theme="5"/>
        </top>
        <bottom style="thin">
          <color theme="5"/>
        </bottom>
        <vertical/>
        <horizontal/>
      </border>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4"/>
        </bottom>
        <vertical/>
        <horizontal/>
      </border>
    </dxf>
    <dxf>
      <font>
        <sz val="7"/>
        <color theme="1"/>
      </font>
      <border diagonalUp="0" diagonalDown="0">
        <left/>
        <right/>
        <top/>
        <bottom/>
        <vertical/>
        <horizontal/>
      </border>
    </dxf>
  </dxfs>
  <tableStyles count="3" defaultTableStyle="TableStyleMedium2" defaultPivotStyle="PivotStyleLight16">
    <tableStyle name="SlicerStyleDark2 2" pivot="0" table="0" count="10" xr9:uid="{5C7B6249-0A6B-4075-878C-0097025FA324}">
      <tableStyleElement type="wholeTable" dxfId="17"/>
      <tableStyleElement type="headerRow" dxfId="16"/>
    </tableStyle>
    <tableStyle name="SlicerStyleLight1 2" pivot="0" table="0" count="10" xr9:uid="{6503383F-AC64-4F94-A576-7400D1BA36A7}">
      <tableStyleElement type="wholeTable" dxfId="311"/>
      <tableStyleElement type="headerRow" dxfId="310"/>
    </tableStyle>
    <tableStyle name="SlicerStyleLight2 2" pivot="0" table="0" count="10" xr9:uid="{71B2F06D-CACD-4A0D-90D7-7F4EAEE55FB1}">
      <tableStyleElement type="wholeTable" dxfId="293"/>
      <tableStyleElement type="headerRow" dxfId="292"/>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7673205568475E-2"/>
          <c:y val="0.2016661638245259"/>
          <c:w val="0.86425429187006886"/>
          <c:h val="0.5966676723509482"/>
        </c:manualLayout>
      </c:layout>
      <c:areaChart>
        <c:grouping val="standard"/>
        <c:varyColors val="0"/>
        <c:ser>
          <c:idx val="0"/>
          <c:order val="0"/>
          <c:tx>
            <c:strRef>
              <c:f>'Pivot Report'!$H$13</c:f>
              <c:strCache>
                <c:ptCount val="1"/>
                <c:pt idx="0">
                  <c:v>Total</c:v>
                </c:pt>
              </c:strCache>
            </c:strRef>
          </c:tx>
          <c:spPr>
            <a:solidFill>
              <a:schemeClr val="accent1"/>
            </a:solidFill>
            <a:ln w="25400">
              <a:noFill/>
            </a:ln>
            <a:effectLst/>
          </c:spPr>
          <c:cat>
            <c:strRef>
              <c:f>'Pivot Report'!$G$14:$G$44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Report'!$H$14:$H$44</c:f>
              <c:numCache>
                <c:formatCode>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4-010D-46A1-9671-DAD9D535BBB6}"/>
            </c:ext>
          </c:extLst>
        </c:ser>
        <c:dLbls>
          <c:showLegendKey val="0"/>
          <c:showVal val="0"/>
          <c:showCatName val="0"/>
          <c:showSerName val="0"/>
          <c:showPercent val="0"/>
          <c:showBubbleSize val="0"/>
        </c:dLbls>
        <c:axId val="1166161951"/>
        <c:axId val="1166161471"/>
      </c:areaChart>
      <c:catAx>
        <c:axId val="1166161951"/>
        <c:scaling>
          <c:orientation val="minMax"/>
        </c:scaling>
        <c:delete val="1"/>
        <c:axPos val="b"/>
        <c:numFmt formatCode="General" sourceLinked="1"/>
        <c:majorTickMark val="out"/>
        <c:minorTickMark val="none"/>
        <c:tickLblPos val="nextTo"/>
        <c:crossAx val="1166161471"/>
        <c:crosses val="autoZero"/>
        <c:auto val="1"/>
        <c:lblAlgn val="ctr"/>
        <c:lblOffset val="100"/>
        <c:noMultiLvlLbl val="0"/>
      </c:catAx>
      <c:valAx>
        <c:axId val="116616147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1661619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Report'!$M$12</c:f>
              <c:strCache>
                <c:ptCount val="1"/>
                <c:pt idx="0">
                  <c:v>Total</c:v>
                </c:pt>
              </c:strCache>
            </c:strRef>
          </c:tx>
          <c:spPr>
            <a:solidFill>
              <a:schemeClr val="accent1"/>
            </a:solidFill>
            <a:ln w="25400">
              <a:noFill/>
            </a:ln>
            <a:effectLst/>
          </c:spPr>
          <c:cat>
            <c:strRef>
              <c:f>'Pivot Report'!$L$13:$L$43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Report'!$M$13:$M$43</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4E06-4E47-B385-9246327A2E3E}"/>
            </c:ext>
          </c:extLst>
        </c:ser>
        <c:dLbls>
          <c:showLegendKey val="0"/>
          <c:showVal val="0"/>
          <c:showCatName val="0"/>
          <c:showSerName val="0"/>
          <c:showPercent val="0"/>
          <c:showBubbleSize val="0"/>
        </c:dLbls>
        <c:axId val="862867311"/>
        <c:axId val="862868751"/>
      </c:areaChart>
      <c:catAx>
        <c:axId val="862867311"/>
        <c:scaling>
          <c:orientation val="minMax"/>
        </c:scaling>
        <c:delete val="1"/>
        <c:axPos val="b"/>
        <c:numFmt formatCode="General" sourceLinked="1"/>
        <c:majorTickMark val="out"/>
        <c:minorTickMark val="none"/>
        <c:tickLblPos val="nextTo"/>
        <c:crossAx val="862868751"/>
        <c:crosses val="autoZero"/>
        <c:auto val="1"/>
        <c:lblAlgn val="ctr"/>
        <c:lblOffset val="100"/>
        <c:noMultiLvlLbl val="0"/>
      </c:catAx>
      <c:valAx>
        <c:axId val="862868751"/>
        <c:scaling>
          <c:orientation val="minMax"/>
        </c:scaling>
        <c:delete val="1"/>
        <c:axPos val="l"/>
        <c:numFmt formatCode="0" sourceLinked="1"/>
        <c:majorTickMark val="none"/>
        <c:minorTickMark val="none"/>
        <c:tickLblPos val="nextTo"/>
        <c:crossAx val="862867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Report'!$V$12</c:f>
              <c:strCache>
                <c:ptCount val="1"/>
                <c:pt idx="0">
                  <c:v>Total</c:v>
                </c:pt>
              </c:strCache>
            </c:strRef>
          </c:tx>
          <c:spPr>
            <a:solidFill>
              <a:schemeClr val="accent1"/>
            </a:solidFill>
            <a:ln w="25400">
              <a:noFill/>
            </a:ln>
            <a:effectLst/>
          </c:spPr>
          <c:cat>
            <c:strRef>
              <c:f>'Pivot Report'!$U$13:$U$40</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Report'!$V$13:$V$40</c:f>
              <c:numCache>
                <c:formatCode>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444F-4631-A938-5CAEEAC47503}"/>
            </c:ext>
          </c:extLst>
        </c:ser>
        <c:dLbls>
          <c:showLegendKey val="0"/>
          <c:showVal val="0"/>
          <c:showCatName val="0"/>
          <c:showSerName val="0"/>
          <c:showPercent val="0"/>
          <c:showBubbleSize val="0"/>
        </c:dLbls>
        <c:axId val="1745639631"/>
        <c:axId val="1745656431"/>
      </c:areaChart>
      <c:catAx>
        <c:axId val="1745639631"/>
        <c:scaling>
          <c:orientation val="minMax"/>
        </c:scaling>
        <c:delete val="1"/>
        <c:axPos val="b"/>
        <c:numFmt formatCode="General" sourceLinked="1"/>
        <c:majorTickMark val="out"/>
        <c:minorTickMark val="none"/>
        <c:tickLblPos val="nextTo"/>
        <c:crossAx val="1745656431"/>
        <c:crosses val="autoZero"/>
        <c:auto val="1"/>
        <c:lblAlgn val="ctr"/>
        <c:lblOffset val="100"/>
        <c:noMultiLvlLbl val="0"/>
      </c:catAx>
      <c:valAx>
        <c:axId val="1745656431"/>
        <c:scaling>
          <c:orientation val="minMax"/>
        </c:scaling>
        <c:delete val="1"/>
        <c:axPos val="l"/>
        <c:numFmt formatCode="0" sourceLinked="1"/>
        <c:majorTickMark val="none"/>
        <c:minorTickMark val="none"/>
        <c:tickLblPos val="nextTo"/>
        <c:crossAx val="17456396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Report'!$AK$16</c:f>
              <c:strCache>
                <c:ptCount val="1"/>
                <c:pt idx="0">
                  <c:v>Total</c:v>
                </c:pt>
              </c:strCache>
            </c:strRef>
          </c:tx>
          <c:spPr>
            <a:solidFill>
              <a:schemeClr val="accent1"/>
            </a:solidFill>
            <a:ln>
              <a:noFill/>
            </a:ln>
            <a:effectLst/>
          </c:spPr>
          <c:invertIfNegative val="0"/>
          <c:cat>
            <c:strRef>
              <c:f>'Pivot Report'!$AJ$17:$AJ$25</c:f>
              <c:strCache>
                <c:ptCount val="8"/>
                <c:pt idx="0">
                  <c:v>0-09</c:v>
                </c:pt>
                <c:pt idx="1">
                  <c:v>10-19</c:v>
                </c:pt>
                <c:pt idx="2">
                  <c:v>20-29</c:v>
                </c:pt>
                <c:pt idx="3">
                  <c:v>30-39</c:v>
                </c:pt>
                <c:pt idx="4">
                  <c:v>40-49</c:v>
                </c:pt>
                <c:pt idx="5">
                  <c:v>50-59</c:v>
                </c:pt>
                <c:pt idx="6">
                  <c:v>60-69</c:v>
                </c:pt>
                <c:pt idx="7">
                  <c:v>70-79</c:v>
                </c:pt>
              </c:strCache>
            </c:strRef>
          </c:cat>
          <c:val>
            <c:numRef>
              <c:f>'Pivot Report'!$AK$17:$AK$25</c:f>
              <c:numCache>
                <c:formatCode>0.00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4-1CA1-44BB-A486-82CCD6C6D0B5}"/>
            </c:ext>
          </c:extLst>
        </c:ser>
        <c:dLbls>
          <c:showLegendKey val="0"/>
          <c:showVal val="0"/>
          <c:showCatName val="0"/>
          <c:showSerName val="0"/>
          <c:showPercent val="0"/>
          <c:showBubbleSize val="0"/>
        </c:dLbls>
        <c:gapWidth val="219"/>
        <c:overlap val="-27"/>
        <c:axId val="1688982032"/>
        <c:axId val="1688984912"/>
      </c:barChart>
      <c:catAx>
        <c:axId val="16889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8984912"/>
        <c:crosses val="autoZero"/>
        <c:auto val="1"/>
        <c:lblAlgn val="ctr"/>
        <c:lblOffset val="100"/>
        <c:noMultiLvlLbl val="0"/>
      </c:catAx>
      <c:valAx>
        <c:axId val="1688984912"/>
        <c:scaling>
          <c:orientation val="minMax"/>
        </c:scaling>
        <c:delete val="1"/>
        <c:axPos val="l"/>
        <c:numFmt formatCode="0.00" sourceLinked="1"/>
        <c:majorTickMark val="none"/>
        <c:minorTickMark val="none"/>
        <c:tickLblPos val="nextTo"/>
        <c:crossAx val="168898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Report!PivotTable10</c:name>
    <c:fmtId val="37"/>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810537749846462"/>
          <c:y val="0.19503316630875686"/>
          <c:w val="0.51047788026505836"/>
          <c:h val="0.6925363874970174"/>
        </c:manualLayout>
      </c:layout>
      <c:pieChart>
        <c:varyColors val="1"/>
        <c:ser>
          <c:idx val="0"/>
          <c:order val="0"/>
          <c:tx>
            <c:strRef>
              <c:f>'Pivot Report'!$AR$15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Report'!$AQ$16:$AQ$18</c:f>
              <c:strCache>
                <c:ptCount val="2"/>
                <c:pt idx="0">
                  <c:v>Delay</c:v>
                </c:pt>
                <c:pt idx="1">
                  <c:v>Ontime</c:v>
                </c:pt>
              </c:strCache>
            </c:strRef>
          </c:cat>
          <c:val>
            <c:numRef>
              <c:f>'Pivot Report'!$AR$16:$AR$18</c:f>
              <c:numCache>
                <c:formatCode>0</c:formatCode>
                <c:ptCount val="2"/>
                <c:pt idx="0">
                  <c:v>268</c:v>
                </c:pt>
                <c:pt idx="1">
                  <c:v>201</c:v>
                </c:pt>
              </c:numCache>
            </c:numRef>
          </c:val>
          <c:extLst>
            <c:ext xmlns:c16="http://schemas.microsoft.com/office/drawing/2014/chart" uri="{C3380CC4-5D6E-409C-BE32-E72D297353CC}">
              <c16:uniqueId val="{00000008-5653-46E3-99E2-0E24750F3D4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5628598946267228E-2"/>
          <c:y val="1.9829157718921499E-2"/>
          <c:w val="0.65394608079368355"/>
          <c:h val="0.187884514435695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Report!PivotTable11</c:name>
    <c:fmtId val="5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653871391076127"/>
              <c:y val="5.20483377077864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4042760279965"/>
              <c:y val="-5.66776027996501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653871391076127"/>
              <c:y val="5.20483377077864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042760279965"/>
              <c:y val="-5.66776027996501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132454095165271"/>
              <c:y val="2.8270145685147081E-2"/>
            </c:manualLayout>
          </c:layout>
          <c:spPr>
            <a:noFill/>
            <a:ln>
              <a:noFill/>
            </a:ln>
            <a:effectLst/>
          </c:spPr>
          <c:txPr>
            <a:bodyPr rot="0" spcFirstLastPara="1" vertOverflow="ellipsis" vert="horz" wrap="square" lIns="0" tIns="0" rIns="0" bIns="18288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7225774297388911"/>
                  <c:h val="0.29687397607550686"/>
                </c:manualLayout>
              </c15:layout>
            </c:ext>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25422949174412768"/>
              <c:y val="3.8435902092691029E-2"/>
            </c:manualLayout>
          </c:layout>
          <c:spPr>
            <a:noFill/>
            <a:ln>
              <a:noFill/>
            </a:ln>
            <a:effectLst/>
          </c:spPr>
          <c:txPr>
            <a:bodyPr rot="0" spcFirstLastPara="1" vertOverflow="ellipsis" vert="horz" wrap="square" lIns="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18638438194461"/>
                  <c:h val="0.2997732621602443"/>
                </c:manualLayout>
              </c15:layout>
            </c:ext>
          </c:extLst>
        </c:dLbl>
      </c:pivotFmt>
    </c:pivotFmts>
    <c:plotArea>
      <c:layout>
        <c:manualLayout>
          <c:layoutTarget val="inner"/>
          <c:xMode val="edge"/>
          <c:yMode val="edge"/>
          <c:x val="0.15972222222222221"/>
          <c:y val="0.21949015438800415"/>
          <c:w val="0.61740509245825992"/>
          <c:h val="0.67727210600321675"/>
        </c:manualLayout>
      </c:layout>
      <c:pieChart>
        <c:varyColors val="1"/>
        <c:ser>
          <c:idx val="0"/>
          <c:order val="0"/>
          <c:tx>
            <c:strRef>
              <c:f>'Pivot Report'!$AW$15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2132454095165271"/>
                  <c:y val="2.8270145685147081E-2"/>
                </c:manualLayout>
              </c:layout>
              <c:spPr>
                <a:noFill/>
                <a:ln>
                  <a:noFill/>
                </a:ln>
                <a:effectLst/>
              </c:spPr>
              <c:txPr>
                <a:bodyPr rot="0" spcFirstLastPara="1" vertOverflow="ellipsis" vert="horz" wrap="square" lIns="0" tIns="0" rIns="0" bIns="18288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7225774297388911"/>
                      <c:h val="0.29687397607550686"/>
                    </c:manualLayout>
                  </c15:layout>
                </c:ext>
              </c:extLst>
            </c:dLbl>
            <c:dLbl>
              <c:idx val="1"/>
              <c:layout>
                <c:manualLayout>
                  <c:x val="0.25422949174412768"/>
                  <c:y val="3.8435902092691029E-2"/>
                </c:manualLayout>
              </c:layout>
              <c:spPr>
                <a:noFill/>
                <a:ln>
                  <a:noFill/>
                </a:ln>
                <a:effectLst/>
              </c:spPr>
              <c:txPr>
                <a:bodyPr rot="0" spcFirstLastPara="1" vertOverflow="ellipsis" vert="horz" wrap="square" lIns="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18638438194461"/>
                      <c:h val="0.2997732621602443"/>
                    </c:manualLayout>
                  </c15:layout>
                </c:ext>
              </c:extLst>
            </c:dLbl>
            <c:spPr>
              <a:noFill/>
              <a:ln>
                <a:noFill/>
              </a:ln>
              <a:effectLst/>
            </c:spPr>
            <c:txPr>
              <a:bodyPr rot="0" spcFirstLastPara="1" vertOverflow="ellipsis" vert="horz" wrap="square" lIns="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Report'!$AV$16:$AV$18</c:f>
              <c:strCache>
                <c:ptCount val="2"/>
                <c:pt idx="0">
                  <c:v>Female</c:v>
                </c:pt>
                <c:pt idx="1">
                  <c:v>Male</c:v>
                </c:pt>
              </c:strCache>
            </c:strRef>
          </c:cat>
          <c:val>
            <c:numRef>
              <c:f>'Pivot Report'!$AW$16:$AW$18</c:f>
              <c:numCache>
                <c:formatCode>0.00</c:formatCode>
                <c:ptCount val="2"/>
                <c:pt idx="0">
                  <c:v>241</c:v>
                </c:pt>
                <c:pt idx="1">
                  <c:v>228</c:v>
                </c:pt>
              </c:numCache>
            </c:numRef>
          </c:val>
          <c:extLst>
            <c:ext xmlns:c16="http://schemas.microsoft.com/office/drawing/2014/chart" uri="{C3380CC4-5D6E-409C-BE32-E72D297353CC}">
              <c16:uniqueId val="{00000008-83AB-422F-8591-8C06BA56DA1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4990219940397968E-2"/>
          <c:y val="5.1926897174108817E-2"/>
          <c:w val="0.84892624162379715"/>
          <c:h val="0.19617784784411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Report!PivotTable14</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31215209035329"/>
          <c:y val="7.6266657058268933E-2"/>
          <c:w val="0.59006879910217624"/>
          <c:h val="0.84746668588346219"/>
        </c:manualLayout>
      </c:layout>
      <c:barChart>
        <c:barDir val="bar"/>
        <c:grouping val="clustered"/>
        <c:varyColors val="0"/>
        <c:ser>
          <c:idx val="0"/>
          <c:order val="0"/>
          <c:tx>
            <c:strRef>
              <c:f>'Pivot Report'!$BC$15</c:f>
              <c:strCache>
                <c:ptCount val="1"/>
                <c:pt idx="0">
                  <c:v>Total</c:v>
                </c:pt>
              </c:strCache>
            </c:strRef>
          </c:tx>
          <c:spPr>
            <a:solidFill>
              <a:schemeClr val="accent1"/>
            </a:solidFill>
            <a:ln>
              <a:noFill/>
            </a:ln>
            <a:effectLst/>
          </c:spPr>
          <c:invertIfNegative val="0"/>
          <c:cat>
            <c:strRef>
              <c:f>'Pivot Report'!$BB$16:$BB$24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Report'!$BC$16:$BC$24</c:f>
              <c:numCache>
                <c:formatCode>0.00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4-6071-4554-A15C-CFDCFD588FC0}"/>
            </c:ext>
          </c:extLst>
        </c:ser>
        <c:dLbls>
          <c:showLegendKey val="0"/>
          <c:showVal val="0"/>
          <c:showCatName val="0"/>
          <c:showSerName val="0"/>
          <c:showPercent val="0"/>
          <c:showBubbleSize val="0"/>
        </c:dLbls>
        <c:gapWidth val="94"/>
        <c:axId val="1500886047"/>
        <c:axId val="1500883167"/>
      </c:barChart>
      <c:catAx>
        <c:axId val="150088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83167"/>
        <c:crosses val="autoZero"/>
        <c:auto val="1"/>
        <c:lblAlgn val="ctr"/>
        <c:lblOffset val="100"/>
        <c:noMultiLvlLbl val="0"/>
      </c:catAx>
      <c:valAx>
        <c:axId val="1500883167"/>
        <c:scaling>
          <c:orientation val="minMax"/>
        </c:scaling>
        <c:delete val="1"/>
        <c:axPos val="b"/>
        <c:numFmt formatCode="0.00" sourceLinked="1"/>
        <c:majorTickMark val="none"/>
        <c:minorTickMark val="none"/>
        <c:tickLblPos val="nextTo"/>
        <c:crossAx val="150088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Report!PivotTable7</c:name>
    <c:fmtId val="3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Report'!$V$12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Report'!$U$13:$U$40</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Report'!$V$13:$V$40</c:f>
              <c:numCache>
                <c:formatCode>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E45C-4B62-B2E0-782B474364E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45639631"/>
        <c:axId val="1745656431"/>
      </c:areaChart>
      <c:catAx>
        <c:axId val="17456396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5656431"/>
        <c:crosses val="autoZero"/>
        <c:auto val="1"/>
        <c:lblAlgn val="ctr"/>
        <c:lblOffset val="100"/>
        <c:noMultiLvlLbl val="0"/>
      </c:catAx>
      <c:valAx>
        <c:axId val="1745656431"/>
        <c:scaling>
          <c:orientation val="minMax"/>
        </c:scaling>
        <c:delete val="1"/>
        <c:axPos val="l"/>
        <c:numFmt formatCode="0" sourceLinked="1"/>
        <c:majorTickMark val="out"/>
        <c:minorTickMark val="none"/>
        <c:tickLblPos val="nextTo"/>
        <c:crossAx val="17456396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Report'!$H$13</c:f>
              <c:strCache>
                <c:ptCount val="1"/>
                <c:pt idx="0">
                  <c:v>Total</c:v>
                </c:pt>
              </c:strCache>
            </c:strRef>
          </c:tx>
          <c:spPr>
            <a:solidFill>
              <a:schemeClr val="accent1"/>
            </a:solidFill>
            <a:ln w="25400">
              <a:noFill/>
            </a:ln>
            <a:effectLst/>
          </c:spPr>
          <c:cat>
            <c:strRef>
              <c:f>'Pivot Report'!$G$14:$G$44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Report'!$H$14:$H$44</c:f>
              <c:numCache>
                <c:formatCode>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3-1921-4B37-A302-B7F47D73E931}"/>
            </c:ext>
          </c:extLst>
        </c:ser>
        <c:dLbls>
          <c:showLegendKey val="0"/>
          <c:showVal val="0"/>
          <c:showCatName val="0"/>
          <c:showSerName val="0"/>
          <c:showPercent val="0"/>
          <c:showBubbleSize val="0"/>
        </c:dLbls>
        <c:axId val="1166161951"/>
        <c:axId val="1166161471"/>
      </c:areaChart>
      <c:catAx>
        <c:axId val="116616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161471"/>
        <c:crosses val="autoZero"/>
        <c:auto val="1"/>
        <c:lblAlgn val="ctr"/>
        <c:lblOffset val="100"/>
        <c:noMultiLvlLbl val="0"/>
      </c:catAx>
      <c:valAx>
        <c:axId val="116616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161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Report'!$M$12</c:f>
              <c:strCache>
                <c:ptCount val="1"/>
                <c:pt idx="0">
                  <c:v>Total</c:v>
                </c:pt>
              </c:strCache>
            </c:strRef>
          </c:tx>
          <c:spPr>
            <a:solidFill>
              <a:schemeClr val="accent1"/>
            </a:solidFill>
            <a:ln w="25400">
              <a:noFill/>
            </a:ln>
            <a:effectLst/>
          </c:spPr>
          <c:cat>
            <c:strRef>
              <c:f>'Pivot Report'!$L$13:$L$43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Report'!$M$13:$M$43</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5BE1-4452-95DC-4C13295CA371}"/>
            </c:ext>
          </c:extLst>
        </c:ser>
        <c:dLbls>
          <c:showLegendKey val="0"/>
          <c:showVal val="0"/>
          <c:showCatName val="0"/>
          <c:showSerName val="0"/>
          <c:showPercent val="0"/>
          <c:showBubbleSize val="0"/>
        </c:dLbls>
        <c:axId val="862867311"/>
        <c:axId val="862868751"/>
      </c:areaChart>
      <c:catAx>
        <c:axId val="862867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68751"/>
        <c:crosses val="autoZero"/>
        <c:auto val="1"/>
        <c:lblAlgn val="ctr"/>
        <c:lblOffset val="100"/>
        <c:noMultiLvlLbl val="0"/>
      </c:catAx>
      <c:valAx>
        <c:axId val="86286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673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Report'!$V$12</c:f>
              <c:strCache>
                <c:ptCount val="1"/>
                <c:pt idx="0">
                  <c:v>Total</c:v>
                </c:pt>
              </c:strCache>
            </c:strRef>
          </c:tx>
          <c:spPr>
            <a:solidFill>
              <a:schemeClr val="accent1"/>
            </a:solidFill>
            <a:ln w="25400">
              <a:noFill/>
            </a:ln>
            <a:effectLst/>
          </c:spPr>
          <c:cat>
            <c:strRef>
              <c:f>'Pivot Report'!$U$13:$U$40</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Report'!$V$13:$V$40</c:f>
              <c:numCache>
                <c:formatCode>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3-AE15-4AEE-A18C-4D4861B84749}"/>
            </c:ext>
          </c:extLst>
        </c:ser>
        <c:dLbls>
          <c:showLegendKey val="0"/>
          <c:showVal val="0"/>
          <c:showCatName val="0"/>
          <c:showSerName val="0"/>
          <c:showPercent val="0"/>
          <c:showBubbleSize val="0"/>
        </c:dLbls>
        <c:axId val="1745639631"/>
        <c:axId val="1745656431"/>
      </c:areaChart>
      <c:catAx>
        <c:axId val="1745639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56431"/>
        <c:crosses val="autoZero"/>
        <c:auto val="1"/>
        <c:lblAlgn val="ctr"/>
        <c:lblOffset val="100"/>
        <c:noMultiLvlLbl val="0"/>
      </c:catAx>
      <c:valAx>
        <c:axId val="1745656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396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barChart>
        <c:barDir val="bar"/>
        <c:grouping val="clustered"/>
        <c:varyColors val="0"/>
        <c:ser>
          <c:idx val="0"/>
          <c:order val="0"/>
          <c:tx>
            <c:strRef>
              <c:f>'Pivot Report'!$AC$16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Report'!$AB$17:$AB$19</c:f>
              <c:strCache>
                <c:ptCount val="2"/>
                <c:pt idx="0">
                  <c:v>Admitted</c:v>
                </c:pt>
                <c:pt idx="1">
                  <c:v>Not Admitted</c:v>
                </c:pt>
              </c:strCache>
            </c:strRef>
          </c:cat>
          <c:val>
            <c:numRef>
              <c:f>'Pivot Report'!$AC$17:$AC$19</c:f>
              <c:numCache>
                <c:formatCode>0</c:formatCode>
                <c:ptCount val="2"/>
                <c:pt idx="0">
                  <c:v>217</c:v>
                </c:pt>
                <c:pt idx="1">
                  <c:v>252</c:v>
                </c:pt>
              </c:numCache>
            </c:numRef>
          </c:val>
          <c:extLst>
            <c:ext xmlns:c16="http://schemas.microsoft.com/office/drawing/2014/chart" uri="{C3380CC4-5D6E-409C-BE32-E72D297353CC}">
              <c16:uniqueId val="{00000008-1E3C-4A5F-A069-7B343FD2876B}"/>
            </c:ext>
          </c:extLst>
        </c:ser>
        <c:ser>
          <c:idx val="1"/>
          <c:order val="1"/>
          <c:tx>
            <c:strRef>
              <c:f>'Pivot Report'!$AD$16</c:f>
              <c:strCache>
                <c:ptCount val="1"/>
                <c:pt idx="0">
                  <c:v>Count of Patient Admission Flag2</c:v>
                </c:pt>
              </c:strCache>
            </c:strRef>
          </c:tx>
          <c:spPr>
            <a:solidFill>
              <a:schemeClr val="accent2"/>
            </a:solidFill>
            <a:ln>
              <a:noFill/>
            </a:ln>
            <a:effectLst/>
          </c:spPr>
          <c:invertIfNegative val="0"/>
          <c:cat>
            <c:strRef>
              <c:f>'Pivot Report'!$AB$17:$AB$19</c:f>
              <c:strCache>
                <c:ptCount val="2"/>
                <c:pt idx="0">
                  <c:v>Admitted</c:v>
                </c:pt>
                <c:pt idx="1">
                  <c:v>Not Admitted</c:v>
                </c:pt>
              </c:strCache>
            </c:strRef>
          </c:cat>
          <c:val>
            <c:numRef>
              <c:f>'Pivot Report'!$AD$17:$AD$19</c:f>
              <c:numCache>
                <c:formatCode>0.00%</c:formatCode>
                <c:ptCount val="2"/>
                <c:pt idx="0">
                  <c:v>0.46268656716417911</c:v>
                </c:pt>
                <c:pt idx="1">
                  <c:v>0.53731343283582089</c:v>
                </c:pt>
              </c:numCache>
            </c:numRef>
          </c:val>
          <c:extLst>
            <c:ext xmlns:c16="http://schemas.microsoft.com/office/drawing/2014/chart" uri="{C3380CC4-5D6E-409C-BE32-E72D297353CC}">
              <c16:uniqueId val="{00000009-1E3C-4A5F-A069-7B343FD2876B}"/>
            </c:ext>
          </c:extLst>
        </c:ser>
        <c:dLbls>
          <c:showLegendKey val="0"/>
          <c:showVal val="0"/>
          <c:showCatName val="0"/>
          <c:showSerName val="0"/>
          <c:showPercent val="0"/>
          <c:showBubbleSize val="0"/>
        </c:dLbls>
        <c:gapWidth val="74"/>
        <c:overlap val="10"/>
        <c:axId val="630795567"/>
        <c:axId val="630794607"/>
      </c:barChart>
      <c:catAx>
        <c:axId val="630795567"/>
        <c:scaling>
          <c:orientation val="minMax"/>
        </c:scaling>
        <c:delete val="1"/>
        <c:axPos val="l"/>
        <c:numFmt formatCode="General" sourceLinked="1"/>
        <c:majorTickMark val="none"/>
        <c:minorTickMark val="none"/>
        <c:tickLblPos val="nextTo"/>
        <c:crossAx val="630794607"/>
        <c:crosses val="autoZero"/>
        <c:auto val="1"/>
        <c:lblAlgn val="ctr"/>
        <c:lblOffset val="100"/>
        <c:noMultiLvlLbl val="0"/>
      </c:catAx>
      <c:valAx>
        <c:axId val="630794607"/>
        <c:scaling>
          <c:orientation val="minMax"/>
        </c:scaling>
        <c:delete val="1"/>
        <c:axPos val="b"/>
        <c:numFmt formatCode="0" sourceLinked="1"/>
        <c:majorTickMark val="none"/>
        <c:minorTickMark val="none"/>
        <c:tickLblPos val="nextTo"/>
        <c:crossAx val="63079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Report'!$AK$16</c:f>
              <c:strCache>
                <c:ptCount val="1"/>
                <c:pt idx="0">
                  <c:v>Total</c:v>
                </c:pt>
              </c:strCache>
            </c:strRef>
          </c:tx>
          <c:spPr>
            <a:solidFill>
              <a:schemeClr val="accent1"/>
            </a:solidFill>
            <a:ln>
              <a:noFill/>
            </a:ln>
            <a:effectLst/>
          </c:spPr>
          <c:invertIfNegative val="0"/>
          <c:cat>
            <c:strRef>
              <c:f>'Pivot Report'!$AJ$17:$AJ$25</c:f>
              <c:strCache>
                <c:ptCount val="8"/>
                <c:pt idx="0">
                  <c:v>0-09</c:v>
                </c:pt>
                <c:pt idx="1">
                  <c:v>10-19</c:v>
                </c:pt>
                <c:pt idx="2">
                  <c:v>20-29</c:v>
                </c:pt>
                <c:pt idx="3">
                  <c:v>30-39</c:v>
                </c:pt>
                <c:pt idx="4">
                  <c:v>40-49</c:v>
                </c:pt>
                <c:pt idx="5">
                  <c:v>50-59</c:v>
                </c:pt>
                <c:pt idx="6">
                  <c:v>60-69</c:v>
                </c:pt>
                <c:pt idx="7">
                  <c:v>70-79</c:v>
                </c:pt>
              </c:strCache>
            </c:strRef>
          </c:cat>
          <c:val>
            <c:numRef>
              <c:f>'Pivot Report'!$AK$17:$AK$25</c:f>
              <c:numCache>
                <c:formatCode>0.00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3-01DA-40C3-9B24-A6947923049F}"/>
            </c:ext>
          </c:extLst>
        </c:ser>
        <c:dLbls>
          <c:showLegendKey val="0"/>
          <c:showVal val="0"/>
          <c:showCatName val="0"/>
          <c:showSerName val="0"/>
          <c:showPercent val="0"/>
          <c:showBubbleSize val="0"/>
        </c:dLbls>
        <c:gapWidth val="219"/>
        <c:overlap val="-27"/>
        <c:axId val="1688982032"/>
        <c:axId val="1688984912"/>
      </c:barChart>
      <c:catAx>
        <c:axId val="16889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8984912"/>
        <c:crosses val="autoZero"/>
        <c:auto val="1"/>
        <c:lblAlgn val="ctr"/>
        <c:lblOffset val="100"/>
        <c:noMultiLvlLbl val="0"/>
      </c:catAx>
      <c:valAx>
        <c:axId val="1688984912"/>
        <c:scaling>
          <c:orientation val="minMax"/>
        </c:scaling>
        <c:delete val="1"/>
        <c:axPos val="l"/>
        <c:numFmt formatCode="0.00" sourceLinked="1"/>
        <c:majorTickMark val="none"/>
        <c:minorTickMark val="none"/>
        <c:tickLblPos val="nextTo"/>
        <c:crossAx val="168898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Report!PivotTable10</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4965787632242675"/>
          <c:y val="0.22509134445824128"/>
          <c:w val="0.56050441266994144"/>
          <c:h val="0.66198836429228591"/>
        </c:manualLayout>
      </c:layout>
      <c:pieChart>
        <c:varyColors val="1"/>
        <c:ser>
          <c:idx val="0"/>
          <c:order val="0"/>
          <c:tx>
            <c:strRef>
              <c:f>'Pivot Report'!$AR$15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Report'!$AQ$16:$AQ$18</c:f>
              <c:strCache>
                <c:ptCount val="2"/>
                <c:pt idx="0">
                  <c:v>Delay</c:v>
                </c:pt>
                <c:pt idx="1">
                  <c:v>Ontime</c:v>
                </c:pt>
              </c:strCache>
            </c:strRef>
          </c:cat>
          <c:val>
            <c:numRef>
              <c:f>'Pivot Report'!$AR$16:$AR$18</c:f>
              <c:numCache>
                <c:formatCode>0</c:formatCode>
                <c:ptCount val="2"/>
                <c:pt idx="0">
                  <c:v>268</c:v>
                </c:pt>
                <c:pt idx="1">
                  <c:v>201</c:v>
                </c:pt>
              </c:numCache>
            </c:numRef>
          </c:val>
          <c:extLst>
            <c:ext xmlns:c16="http://schemas.microsoft.com/office/drawing/2014/chart" uri="{C3380CC4-5D6E-409C-BE32-E72D297353CC}">
              <c16:uniqueId val="{00000008-D5F7-4B48-8840-F2FEA21351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964940513822632"/>
          <c:y val="3.1950030770458729E-2"/>
          <c:w val="0.31703298701329169"/>
          <c:h val="0.2506982068002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Report!PivotTable11</c:name>
    <c:fmtId val="4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653871391076127"/>
              <c:y val="5.20483377077864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042760279965"/>
              <c:y val="-5.66776027996501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972222222222221"/>
          <c:y val="0.21949015438800415"/>
          <c:w val="0.66075787401574804"/>
          <c:h val="0.72702364643516593"/>
        </c:manualLayout>
      </c:layout>
      <c:pieChart>
        <c:varyColors val="1"/>
        <c:ser>
          <c:idx val="0"/>
          <c:order val="0"/>
          <c:tx>
            <c:strRef>
              <c:f>'Pivot Report'!$AW$15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12653871391076127"/>
                  <c:y val="5.2048337707786441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14042760279965"/>
                  <c:y val="-5.6677602799650131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Report'!$AV$16:$AV$18</c:f>
              <c:strCache>
                <c:ptCount val="2"/>
                <c:pt idx="0">
                  <c:v>Female</c:v>
                </c:pt>
                <c:pt idx="1">
                  <c:v>Male</c:v>
                </c:pt>
              </c:strCache>
            </c:strRef>
          </c:cat>
          <c:val>
            <c:numRef>
              <c:f>'Pivot Report'!$AW$16:$AW$18</c:f>
              <c:numCache>
                <c:formatCode>0.00</c:formatCode>
                <c:ptCount val="2"/>
                <c:pt idx="0">
                  <c:v>241</c:v>
                </c:pt>
                <c:pt idx="1">
                  <c:v>228</c:v>
                </c:pt>
              </c:numCache>
            </c:numRef>
          </c:val>
          <c:extLst>
            <c:ext xmlns:c16="http://schemas.microsoft.com/office/drawing/2014/chart" uri="{C3380CC4-5D6E-409C-BE32-E72D297353CC}">
              <c16:uniqueId val="{00000008-76B5-4977-A5A1-A585483E881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2840316617274201"/>
          <c:y val="2.8147997812186274E-2"/>
          <c:w val="0.3153825111592366"/>
          <c:h val="0.27355840754221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Report!PivotTable14</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Report'!$BC$15</c:f>
              <c:strCache>
                <c:ptCount val="1"/>
                <c:pt idx="0">
                  <c:v>Total</c:v>
                </c:pt>
              </c:strCache>
            </c:strRef>
          </c:tx>
          <c:spPr>
            <a:solidFill>
              <a:schemeClr val="accent1"/>
            </a:solidFill>
            <a:ln>
              <a:noFill/>
            </a:ln>
            <a:effectLst/>
          </c:spPr>
          <c:invertIfNegative val="0"/>
          <c:cat>
            <c:strRef>
              <c:f>'Pivot Report'!$BB$16:$BB$24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Report'!$BC$16:$BC$24</c:f>
              <c:numCache>
                <c:formatCode>0.00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3-584F-41A7-B843-F30981F1131C}"/>
            </c:ext>
          </c:extLst>
        </c:ser>
        <c:dLbls>
          <c:showLegendKey val="0"/>
          <c:showVal val="0"/>
          <c:showCatName val="0"/>
          <c:showSerName val="0"/>
          <c:showPercent val="0"/>
          <c:showBubbleSize val="0"/>
        </c:dLbls>
        <c:gapWidth val="182"/>
        <c:axId val="1500886047"/>
        <c:axId val="1500883167"/>
      </c:barChart>
      <c:catAx>
        <c:axId val="150088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83167"/>
        <c:crosses val="autoZero"/>
        <c:auto val="1"/>
        <c:lblAlgn val="ctr"/>
        <c:lblOffset val="100"/>
        <c:noMultiLvlLbl val="0"/>
      </c:catAx>
      <c:valAx>
        <c:axId val="15008831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8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Report'!$G$14:$G$44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Report'!$H$14:$H$44</c:f>
              <c:numCache>
                <c:formatCode>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4-7FC5-4BA9-82CE-099F07C7D6B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66161951"/>
        <c:axId val="1166161471"/>
      </c:areaChart>
      <c:catAx>
        <c:axId val="1166161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6161471"/>
        <c:crosses val="autoZero"/>
        <c:auto val="1"/>
        <c:lblAlgn val="ctr"/>
        <c:lblOffset val="100"/>
        <c:noMultiLvlLbl val="0"/>
      </c:catAx>
      <c:valAx>
        <c:axId val="1166161471"/>
        <c:scaling>
          <c:orientation val="minMax"/>
        </c:scaling>
        <c:delete val="1"/>
        <c:axPos val="l"/>
        <c:numFmt formatCode="0" sourceLinked="1"/>
        <c:majorTickMark val="out"/>
        <c:minorTickMark val="none"/>
        <c:tickLblPos val="nextTo"/>
        <c:crossAx val="11661619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Report'!$L$13:$L$43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Report'!$M$13:$M$43</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7CEE-4444-9C6E-E2D6B88B2A5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62867311"/>
        <c:axId val="862868751"/>
      </c:areaChart>
      <c:catAx>
        <c:axId val="862867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2868751"/>
        <c:crosses val="autoZero"/>
        <c:auto val="1"/>
        <c:lblAlgn val="ctr"/>
        <c:lblOffset val="100"/>
        <c:noMultiLvlLbl val="0"/>
      </c:catAx>
      <c:valAx>
        <c:axId val="862868751"/>
        <c:scaling>
          <c:orientation val="minMax"/>
        </c:scaling>
        <c:delete val="1"/>
        <c:axPos val="l"/>
        <c:numFmt formatCode="0" sourceLinked="1"/>
        <c:majorTickMark val="out"/>
        <c:minorTickMark val="none"/>
        <c:tickLblPos val="nextTo"/>
        <c:crossAx val="8628673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Patient satisfaction score '!A1"/><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Daily ER No of patient'!A1"/><Relationship Id="rId6" Type="http://schemas.openxmlformats.org/officeDocument/2006/relationships/image" Target="../media/image5.svg"/><Relationship Id="rId11" Type="http://schemas.openxmlformats.org/officeDocument/2006/relationships/chart" Target="../charts/chart2.xml"/><Relationship Id="rId5" Type="http://schemas.openxmlformats.org/officeDocument/2006/relationships/image" Target="../media/image4.png"/><Relationship Id="rId15" Type="http://schemas.openxmlformats.org/officeDocument/2006/relationships/chart" Target="../charts/chart4.xml"/><Relationship Id="rId10" Type="http://schemas.openxmlformats.org/officeDocument/2006/relationships/hyperlink" Target="#'Daily patient waiting time'!A1"/><Relationship Id="rId4" Type="http://schemas.openxmlformats.org/officeDocument/2006/relationships/image" Target="../media/image3.sv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25935</xdr:colOff>
      <xdr:row>0</xdr:row>
      <xdr:rowOff>23517</xdr:rowOff>
    </xdr:from>
    <xdr:to>
      <xdr:col>5</xdr:col>
      <xdr:colOff>267235</xdr:colOff>
      <xdr:row>2</xdr:row>
      <xdr:rowOff>144167</xdr:rowOff>
    </xdr:to>
    <xdr:sp macro="" textlink="">
      <xdr:nvSpPr>
        <xdr:cNvPr id="2" name="Rectangle: Rounded Corners 1">
          <a:extLst>
            <a:ext uri="{FF2B5EF4-FFF2-40B4-BE49-F238E27FC236}">
              <a16:creationId xmlns:a16="http://schemas.microsoft.com/office/drawing/2014/main" id="{1BBDFC7E-E648-4B18-B7EC-069A39B81C9B}"/>
            </a:ext>
          </a:extLst>
        </xdr:cNvPr>
        <xdr:cNvSpPr/>
      </xdr:nvSpPr>
      <xdr:spPr>
        <a:xfrm>
          <a:off x="25935" y="23517"/>
          <a:ext cx="3281973" cy="501650"/>
        </a:xfrm>
        <a:prstGeom prst="roundRect">
          <a:avLst>
            <a:gd name="adj" fmla="val 79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311685</xdr:colOff>
      <xdr:row>0</xdr:row>
      <xdr:rowOff>23517</xdr:rowOff>
    </xdr:from>
    <xdr:to>
      <xdr:col>6</xdr:col>
      <xdr:colOff>584735</xdr:colOff>
      <xdr:row>2</xdr:row>
      <xdr:rowOff>137817</xdr:rowOff>
    </xdr:to>
    <xdr:sp macro="" textlink="">
      <xdr:nvSpPr>
        <xdr:cNvPr id="3" name="Rectangle: Rounded Corners 2">
          <a:extLst>
            <a:ext uri="{FF2B5EF4-FFF2-40B4-BE49-F238E27FC236}">
              <a16:creationId xmlns:a16="http://schemas.microsoft.com/office/drawing/2014/main" id="{14971984-A0EC-4F20-B14B-B7F161DAF47A}"/>
            </a:ext>
          </a:extLst>
        </xdr:cNvPr>
        <xdr:cNvSpPr/>
      </xdr:nvSpPr>
      <xdr:spPr>
        <a:xfrm>
          <a:off x="3352358" y="23517"/>
          <a:ext cx="881185" cy="495300"/>
        </a:xfrm>
        <a:prstGeom prst="roundRect">
          <a:avLst>
            <a:gd name="adj" fmla="val 18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19585</xdr:colOff>
      <xdr:row>0</xdr:row>
      <xdr:rowOff>23517</xdr:rowOff>
    </xdr:from>
    <xdr:to>
      <xdr:col>9</xdr:col>
      <xdr:colOff>89435</xdr:colOff>
      <xdr:row>5</xdr:row>
      <xdr:rowOff>144167</xdr:rowOff>
    </xdr:to>
    <xdr:sp macro="" textlink="">
      <xdr:nvSpPr>
        <xdr:cNvPr id="4" name="Rectangle: Rounded Corners 3">
          <a:extLst>
            <a:ext uri="{FF2B5EF4-FFF2-40B4-BE49-F238E27FC236}">
              <a16:creationId xmlns:a16="http://schemas.microsoft.com/office/drawing/2014/main" id="{D4DB6F75-0617-4650-9282-CF4A3CEFE19F}"/>
            </a:ext>
          </a:extLst>
        </xdr:cNvPr>
        <xdr:cNvSpPr/>
      </xdr:nvSpPr>
      <xdr:spPr>
        <a:xfrm>
          <a:off x="4286785" y="23517"/>
          <a:ext cx="1289050" cy="1073150"/>
        </a:xfrm>
        <a:prstGeom prst="roundRect">
          <a:avLst>
            <a:gd name="adj" fmla="val 11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133885</xdr:colOff>
      <xdr:row>0</xdr:row>
      <xdr:rowOff>23517</xdr:rowOff>
    </xdr:from>
    <xdr:to>
      <xdr:col>11</xdr:col>
      <xdr:colOff>203735</xdr:colOff>
      <xdr:row>5</xdr:row>
      <xdr:rowOff>144167</xdr:rowOff>
    </xdr:to>
    <xdr:sp macro="" textlink="">
      <xdr:nvSpPr>
        <xdr:cNvPr id="5" name="Rectangle: Rounded Corners 4">
          <a:extLst>
            <a:ext uri="{FF2B5EF4-FFF2-40B4-BE49-F238E27FC236}">
              <a16:creationId xmlns:a16="http://schemas.microsoft.com/office/drawing/2014/main" id="{1674FD16-4875-4FD7-BBF9-AF40C9F23185}"/>
            </a:ext>
          </a:extLst>
        </xdr:cNvPr>
        <xdr:cNvSpPr/>
      </xdr:nvSpPr>
      <xdr:spPr>
        <a:xfrm>
          <a:off x="5607097" y="23517"/>
          <a:ext cx="1286119" cy="1073150"/>
        </a:xfrm>
        <a:prstGeom prst="roundRect">
          <a:avLst>
            <a:gd name="adj" fmla="val 29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25935</xdr:colOff>
      <xdr:row>2</xdr:row>
      <xdr:rowOff>175917</xdr:rowOff>
    </xdr:from>
    <xdr:to>
      <xdr:col>1</xdr:col>
      <xdr:colOff>114835</xdr:colOff>
      <xdr:row>15</xdr:row>
      <xdr:rowOff>144167</xdr:rowOff>
    </xdr:to>
    <xdr:sp macro="" textlink="">
      <xdr:nvSpPr>
        <xdr:cNvPr id="6" name="Rectangle: Rounded Corners 5">
          <a:extLst>
            <a:ext uri="{FF2B5EF4-FFF2-40B4-BE49-F238E27FC236}">
              <a16:creationId xmlns:a16="http://schemas.microsoft.com/office/drawing/2014/main" id="{397DAF00-55D4-4CA1-AC27-AFF4E92A6983}"/>
            </a:ext>
          </a:extLst>
        </xdr:cNvPr>
        <xdr:cNvSpPr/>
      </xdr:nvSpPr>
      <xdr:spPr>
        <a:xfrm>
          <a:off x="25935" y="556917"/>
          <a:ext cx="698500" cy="2444750"/>
        </a:xfrm>
        <a:prstGeom prst="roundRect">
          <a:avLst>
            <a:gd name="adj" fmla="val 60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editAs="absolute">
    <xdr:from>
      <xdr:col>1</xdr:col>
      <xdr:colOff>146585</xdr:colOff>
      <xdr:row>2</xdr:row>
      <xdr:rowOff>175917</xdr:rowOff>
    </xdr:from>
    <xdr:to>
      <xdr:col>3</xdr:col>
      <xdr:colOff>44358</xdr:colOff>
      <xdr:row>6</xdr:row>
      <xdr:rowOff>131467</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B9E68751-D31B-4F40-955D-0FE83967AF4F}"/>
            </a:ext>
          </a:extLst>
        </xdr:cNvPr>
        <xdr:cNvSpPr/>
      </xdr:nvSpPr>
      <xdr:spPr>
        <a:xfrm>
          <a:off x="758190" y="556917"/>
          <a:ext cx="1120984" cy="717550"/>
        </a:xfrm>
        <a:prstGeom prst="roundRect">
          <a:avLst>
            <a:gd name="adj" fmla="val 60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108799</xdr:colOff>
      <xdr:row>2</xdr:row>
      <xdr:rowOff>175917</xdr:rowOff>
    </xdr:from>
    <xdr:to>
      <xdr:col>5</xdr:col>
      <xdr:colOff>6572</xdr:colOff>
      <xdr:row>6</xdr:row>
      <xdr:rowOff>131467</xdr:rowOff>
    </xdr:to>
    <xdr:sp macro="" textlink="">
      <xdr:nvSpPr>
        <xdr:cNvPr id="8" name="Rectangle: Rounded Corners 7">
          <a:extLst>
            <a:ext uri="{FF2B5EF4-FFF2-40B4-BE49-F238E27FC236}">
              <a16:creationId xmlns:a16="http://schemas.microsoft.com/office/drawing/2014/main" id="{6DCF5B5D-7503-4073-8610-FE06357552BD}"/>
            </a:ext>
          </a:extLst>
        </xdr:cNvPr>
        <xdr:cNvSpPr/>
      </xdr:nvSpPr>
      <xdr:spPr>
        <a:xfrm>
          <a:off x="1937599" y="556917"/>
          <a:ext cx="1116973" cy="717550"/>
        </a:xfrm>
        <a:prstGeom prst="roundRect">
          <a:avLst>
            <a:gd name="adj" fmla="val 60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71012</xdr:colOff>
      <xdr:row>2</xdr:row>
      <xdr:rowOff>175917</xdr:rowOff>
    </xdr:from>
    <xdr:to>
      <xdr:col>6</xdr:col>
      <xdr:colOff>578385</xdr:colOff>
      <xdr:row>6</xdr:row>
      <xdr:rowOff>131467</xdr:rowOff>
    </xdr:to>
    <xdr:sp macro="" textlink="">
      <xdr:nvSpPr>
        <xdr:cNvPr id="9" name="Rectangle: Rounded Corners 8">
          <a:extLst>
            <a:ext uri="{FF2B5EF4-FFF2-40B4-BE49-F238E27FC236}">
              <a16:creationId xmlns:a16="http://schemas.microsoft.com/office/drawing/2014/main" id="{4AE5854C-ECA6-4242-9263-6095315169FA}"/>
            </a:ext>
          </a:extLst>
        </xdr:cNvPr>
        <xdr:cNvSpPr/>
      </xdr:nvSpPr>
      <xdr:spPr>
        <a:xfrm>
          <a:off x="3119012" y="556917"/>
          <a:ext cx="1116973" cy="717550"/>
        </a:xfrm>
        <a:prstGeom prst="roundRect">
          <a:avLst>
            <a:gd name="adj" fmla="val 60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159285</xdr:colOff>
      <xdr:row>9</xdr:row>
      <xdr:rowOff>144166</xdr:rowOff>
    </xdr:from>
    <xdr:to>
      <xdr:col>6</xdr:col>
      <xdr:colOff>597435</xdr:colOff>
      <xdr:row>15</xdr:row>
      <xdr:rowOff>161191</xdr:rowOff>
    </xdr:to>
    <xdr:sp macro="" textlink="">
      <xdr:nvSpPr>
        <xdr:cNvPr id="10" name="Rectangle: Rounded Corners 9">
          <a:extLst>
            <a:ext uri="{FF2B5EF4-FFF2-40B4-BE49-F238E27FC236}">
              <a16:creationId xmlns:a16="http://schemas.microsoft.com/office/drawing/2014/main" id="{1997BF2D-8CC2-44FE-AC88-3761BE1576A3}"/>
            </a:ext>
          </a:extLst>
        </xdr:cNvPr>
        <xdr:cNvSpPr/>
      </xdr:nvSpPr>
      <xdr:spPr>
        <a:xfrm>
          <a:off x="767420" y="1858666"/>
          <a:ext cx="3478823" cy="1160025"/>
        </a:xfrm>
        <a:prstGeom prst="roundRect">
          <a:avLst>
            <a:gd name="adj" fmla="val 15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152935</xdr:colOff>
      <xdr:row>6</xdr:row>
      <xdr:rowOff>175917</xdr:rowOff>
    </xdr:from>
    <xdr:to>
      <xdr:col>6</xdr:col>
      <xdr:colOff>584735</xdr:colOff>
      <xdr:row>9</xdr:row>
      <xdr:rowOff>106067</xdr:rowOff>
    </xdr:to>
    <xdr:sp macro="" textlink="">
      <xdr:nvSpPr>
        <xdr:cNvPr id="11" name="Rectangle: Rounded Corners 10">
          <a:extLst>
            <a:ext uri="{FF2B5EF4-FFF2-40B4-BE49-F238E27FC236}">
              <a16:creationId xmlns:a16="http://schemas.microsoft.com/office/drawing/2014/main" id="{BF005D0B-7027-42F9-895A-EFE401665C70}"/>
            </a:ext>
          </a:extLst>
        </xdr:cNvPr>
        <xdr:cNvSpPr/>
      </xdr:nvSpPr>
      <xdr:spPr>
        <a:xfrm>
          <a:off x="762535" y="1318917"/>
          <a:ext cx="3479800" cy="501650"/>
        </a:xfrm>
        <a:prstGeom prst="roundRect">
          <a:avLst>
            <a:gd name="adj" fmla="val 78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19585</xdr:colOff>
      <xdr:row>6</xdr:row>
      <xdr:rowOff>17167</xdr:rowOff>
    </xdr:from>
    <xdr:to>
      <xdr:col>11</xdr:col>
      <xdr:colOff>216435</xdr:colOff>
      <xdr:row>15</xdr:row>
      <xdr:rowOff>168519</xdr:rowOff>
    </xdr:to>
    <xdr:sp macro="" textlink="">
      <xdr:nvSpPr>
        <xdr:cNvPr id="12" name="Rectangle: Rounded Corners 11">
          <a:extLst>
            <a:ext uri="{FF2B5EF4-FFF2-40B4-BE49-F238E27FC236}">
              <a16:creationId xmlns:a16="http://schemas.microsoft.com/office/drawing/2014/main" id="{65F94804-CE26-45FB-846E-5220B05C2156}"/>
            </a:ext>
          </a:extLst>
        </xdr:cNvPr>
        <xdr:cNvSpPr/>
      </xdr:nvSpPr>
      <xdr:spPr>
        <a:xfrm>
          <a:off x="4276527" y="1160167"/>
          <a:ext cx="2629389" cy="1865852"/>
        </a:xfrm>
        <a:prstGeom prst="roundRect">
          <a:avLst>
            <a:gd name="adj" fmla="val 81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546635</xdr:colOff>
      <xdr:row>0</xdr:row>
      <xdr:rowOff>93367</xdr:rowOff>
    </xdr:from>
    <xdr:to>
      <xdr:col>4</xdr:col>
      <xdr:colOff>356135</xdr:colOff>
      <xdr:row>1</xdr:row>
      <xdr:rowOff>106067</xdr:rowOff>
    </xdr:to>
    <xdr:sp macro="" textlink="">
      <xdr:nvSpPr>
        <xdr:cNvPr id="13" name="TextBox 12">
          <a:extLst>
            <a:ext uri="{FF2B5EF4-FFF2-40B4-BE49-F238E27FC236}">
              <a16:creationId xmlns:a16="http://schemas.microsoft.com/office/drawing/2014/main" id="{2573A748-BE4D-4531-A540-6B34B9CA6EEB}"/>
            </a:ext>
          </a:extLst>
        </xdr:cNvPr>
        <xdr:cNvSpPr txBox="1"/>
      </xdr:nvSpPr>
      <xdr:spPr>
        <a:xfrm>
          <a:off x="546635" y="93367"/>
          <a:ext cx="22479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100"/>
            <a:t>Hospital Emergency</a:t>
          </a:r>
          <a:r>
            <a:rPr lang="en-US" sz="1100" baseline="0"/>
            <a:t> Room Dashboard</a:t>
          </a:r>
          <a:endParaRPr lang="en-US" sz="1100"/>
        </a:p>
      </xdr:txBody>
    </xdr:sp>
    <xdr:clientData/>
  </xdr:twoCellAnchor>
  <xdr:twoCellAnchor editAs="oneCell">
    <xdr:from>
      <xdr:col>0</xdr:col>
      <xdr:colOff>0</xdr:colOff>
      <xdr:row>0</xdr:row>
      <xdr:rowOff>0</xdr:rowOff>
    </xdr:from>
    <xdr:to>
      <xdr:col>1</xdr:col>
      <xdr:colOff>135329</xdr:colOff>
      <xdr:row>2</xdr:row>
      <xdr:rowOff>72434</xdr:rowOff>
    </xdr:to>
    <xdr:pic>
      <xdr:nvPicPr>
        <xdr:cNvPr id="14" name="Picture 13">
          <a:extLst>
            <a:ext uri="{FF2B5EF4-FFF2-40B4-BE49-F238E27FC236}">
              <a16:creationId xmlns:a16="http://schemas.microsoft.com/office/drawing/2014/main" id="{5F257687-D810-4C7C-96AE-FA8BEECAA6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35" t="-10526" r="-17391" b="10526"/>
        <a:stretch/>
      </xdr:blipFill>
      <xdr:spPr>
        <a:xfrm>
          <a:off x="0" y="0"/>
          <a:ext cx="744929" cy="453434"/>
        </a:xfrm>
        <a:prstGeom prst="rect">
          <a:avLst/>
        </a:prstGeom>
      </xdr:spPr>
    </xdr:pic>
    <xdr:clientData/>
  </xdr:twoCellAnchor>
  <xdr:twoCellAnchor editAs="absolute">
    <xdr:from>
      <xdr:col>1</xdr:col>
      <xdr:colOff>585774</xdr:colOff>
      <xdr:row>3</xdr:row>
      <xdr:rowOff>48917</xdr:rowOff>
    </xdr:from>
    <xdr:to>
      <xdr:col>2</xdr:col>
      <xdr:colOff>330735</xdr:colOff>
      <xdr:row>4</xdr:row>
      <xdr:rowOff>23517</xdr:rowOff>
    </xdr:to>
    <xdr:sp macro="" textlink="'Pivot Report'!B4">
      <xdr:nvSpPr>
        <xdr:cNvPr id="15" name="TextBox 14">
          <a:extLst>
            <a:ext uri="{FF2B5EF4-FFF2-40B4-BE49-F238E27FC236}">
              <a16:creationId xmlns:a16="http://schemas.microsoft.com/office/drawing/2014/main" id="{67C5C7FC-F3F3-41E0-B152-06C716670474}"/>
            </a:ext>
          </a:extLst>
        </xdr:cNvPr>
        <xdr:cNvSpPr txBox="1"/>
      </xdr:nvSpPr>
      <xdr:spPr>
        <a:xfrm>
          <a:off x="1195374" y="620417"/>
          <a:ext cx="354561"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E6E973BD-CD55-4511-A28F-624DE74C6EAC}" type="TxLink">
            <a:rPr lang="en-US" sz="1100" b="0" i="0" u="none" strike="noStrike">
              <a:solidFill>
                <a:srgbClr val="000000"/>
              </a:solidFill>
              <a:latin typeface="Aptos Narrow"/>
            </a:rPr>
            <a:pPr algn="l"/>
            <a:t>469</a:t>
          </a:fld>
          <a:endParaRPr lang="en-US" sz="1000"/>
        </a:p>
      </xdr:txBody>
    </xdr:sp>
    <xdr:clientData/>
  </xdr:twoCellAnchor>
  <xdr:twoCellAnchor editAs="absolute">
    <xdr:from>
      <xdr:col>1</xdr:col>
      <xdr:colOff>419635</xdr:colOff>
      <xdr:row>4</xdr:row>
      <xdr:rowOff>17167</xdr:rowOff>
    </xdr:from>
    <xdr:to>
      <xdr:col>2</xdr:col>
      <xdr:colOff>578385</xdr:colOff>
      <xdr:row>4</xdr:row>
      <xdr:rowOff>182267</xdr:rowOff>
    </xdr:to>
    <xdr:sp macro="" textlink="">
      <xdr:nvSpPr>
        <xdr:cNvPr id="16" name="TextBox 15">
          <a:extLst>
            <a:ext uri="{FF2B5EF4-FFF2-40B4-BE49-F238E27FC236}">
              <a16:creationId xmlns:a16="http://schemas.microsoft.com/office/drawing/2014/main" id="{D9FDE6B4-E008-4697-A454-3FFE90305D34}"/>
            </a:ext>
          </a:extLst>
        </xdr:cNvPr>
        <xdr:cNvSpPr txBox="1"/>
      </xdr:nvSpPr>
      <xdr:spPr>
        <a:xfrm>
          <a:off x="1029235" y="779167"/>
          <a:ext cx="76835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a:t>No. of</a:t>
          </a:r>
          <a:r>
            <a:rPr lang="en-US" sz="800" baseline="0"/>
            <a:t>  patient</a:t>
          </a:r>
          <a:endParaRPr lang="en-US" sz="800"/>
        </a:p>
      </xdr:txBody>
    </xdr:sp>
    <xdr:clientData/>
  </xdr:twoCellAnchor>
  <xdr:twoCellAnchor editAs="absolute">
    <xdr:from>
      <xdr:col>3</xdr:col>
      <xdr:colOff>490524</xdr:colOff>
      <xdr:row>3</xdr:row>
      <xdr:rowOff>48917</xdr:rowOff>
    </xdr:from>
    <xdr:to>
      <xdr:col>4</xdr:col>
      <xdr:colOff>235485</xdr:colOff>
      <xdr:row>4</xdr:row>
      <xdr:rowOff>23517</xdr:rowOff>
    </xdr:to>
    <xdr:sp macro="" textlink="'Pivot Report'!E4">
      <xdr:nvSpPr>
        <xdr:cNvPr id="17" name="TextBox 16">
          <a:extLst>
            <a:ext uri="{FF2B5EF4-FFF2-40B4-BE49-F238E27FC236}">
              <a16:creationId xmlns:a16="http://schemas.microsoft.com/office/drawing/2014/main" id="{325F3EAB-13C8-454A-93D4-5631CEBA63C9}"/>
            </a:ext>
          </a:extLst>
        </xdr:cNvPr>
        <xdr:cNvSpPr txBox="1"/>
      </xdr:nvSpPr>
      <xdr:spPr>
        <a:xfrm>
          <a:off x="2319324" y="620417"/>
          <a:ext cx="354561"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E0B2F42A-B75F-4F3C-A991-8027A8DF9467}" type="TxLink">
            <a:rPr lang="en-US" sz="1100" b="0" i="0" u="none" strike="noStrike">
              <a:solidFill>
                <a:srgbClr val="000000"/>
              </a:solidFill>
              <a:latin typeface="Aptos Narrow"/>
            </a:rPr>
            <a:pPr algn="l"/>
            <a:t>35.04</a:t>
          </a:fld>
          <a:endParaRPr lang="en-US" sz="1000" b="0" i="0" u="none" strike="noStrike">
            <a:solidFill>
              <a:srgbClr val="000000"/>
            </a:solidFill>
            <a:latin typeface="Aptos Narrow"/>
          </a:endParaRPr>
        </a:p>
      </xdr:txBody>
    </xdr:sp>
    <xdr:clientData/>
  </xdr:twoCellAnchor>
  <xdr:twoCellAnchor editAs="absolute">
    <xdr:from>
      <xdr:col>3</xdr:col>
      <xdr:colOff>362485</xdr:colOff>
      <xdr:row>4</xdr:row>
      <xdr:rowOff>23517</xdr:rowOff>
    </xdr:from>
    <xdr:to>
      <xdr:col>4</xdr:col>
      <xdr:colOff>521235</xdr:colOff>
      <xdr:row>4</xdr:row>
      <xdr:rowOff>188617</xdr:rowOff>
    </xdr:to>
    <xdr:sp macro="" textlink="">
      <xdr:nvSpPr>
        <xdr:cNvPr id="18" name="TextBox 17">
          <a:extLst>
            <a:ext uri="{FF2B5EF4-FFF2-40B4-BE49-F238E27FC236}">
              <a16:creationId xmlns:a16="http://schemas.microsoft.com/office/drawing/2014/main" id="{BCD687F5-5E11-4BBF-BD3A-980589DA5D89}"/>
            </a:ext>
          </a:extLst>
        </xdr:cNvPr>
        <xdr:cNvSpPr txBox="1"/>
      </xdr:nvSpPr>
      <xdr:spPr>
        <a:xfrm>
          <a:off x="2186889" y="785517"/>
          <a:ext cx="766884"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a:t>Average</a:t>
          </a:r>
          <a:r>
            <a:rPr lang="en-US" sz="800" baseline="0"/>
            <a:t> Wait Time</a:t>
          </a:r>
          <a:endParaRPr lang="en-US" sz="800"/>
        </a:p>
      </xdr:txBody>
    </xdr:sp>
    <xdr:clientData/>
  </xdr:twoCellAnchor>
  <xdr:twoCellAnchor editAs="absolute">
    <xdr:from>
      <xdr:col>5</xdr:col>
      <xdr:colOff>433374</xdr:colOff>
      <xdr:row>3</xdr:row>
      <xdr:rowOff>48917</xdr:rowOff>
    </xdr:from>
    <xdr:to>
      <xdr:col>6</xdr:col>
      <xdr:colOff>178335</xdr:colOff>
      <xdr:row>4</xdr:row>
      <xdr:rowOff>23517</xdr:rowOff>
    </xdr:to>
    <xdr:sp macro="" textlink="'Pivot Report'!G4">
      <xdr:nvSpPr>
        <xdr:cNvPr id="19" name="TextBox 18">
          <a:extLst>
            <a:ext uri="{FF2B5EF4-FFF2-40B4-BE49-F238E27FC236}">
              <a16:creationId xmlns:a16="http://schemas.microsoft.com/office/drawing/2014/main" id="{F2E652AC-6967-49AE-ABEE-3F808E5E4FD0}"/>
            </a:ext>
          </a:extLst>
        </xdr:cNvPr>
        <xdr:cNvSpPr txBox="1"/>
      </xdr:nvSpPr>
      <xdr:spPr>
        <a:xfrm>
          <a:off x="3481374" y="620417"/>
          <a:ext cx="354561"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87240832-9426-4130-8219-7C6C341CB2FC}" type="TxLink">
            <a:rPr lang="en-US" sz="1100" b="0" i="0" u="none" strike="noStrike">
              <a:solidFill>
                <a:srgbClr val="000000"/>
              </a:solidFill>
              <a:latin typeface="Aptos Narrow"/>
            </a:rPr>
            <a:pPr algn="l"/>
            <a:t>4.63</a:t>
          </a:fld>
          <a:endParaRPr lang="en-US" sz="1000" b="0" i="0" u="none" strike="noStrike">
            <a:solidFill>
              <a:srgbClr val="000000"/>
            </a:solidFill>
            <a:latin typeface="Aptos Narrow"/>
          </a:endParaRPr>
        </a:p>
      </xdr:txBody>
    </xdr:sp>
    <xdr:clientData/>
  </xdr:twoCellAnchor>
  <xdr:twoCellAnchor editAs="absolute">
    <xdr:from>
      <xdr:col>5</xdr:col>
      <xdr:colOff>114835</xdr:colOff>
      <xdr:row>4</xdr:row>
      <xdr:rowOff>23517</xdr:rowOff>
    </xdr:from>
    <xdr:to>
      <xdr:col>6</xdr:col>
      <xdr:colOff>572035</xdr:colOff>
      <xdr:row>4</xdr:row>
      <xdr:rowOff>188617</xdr:rowOff>
    </xdr:to>
    <xdr:sp macro="" textlink="">
      <xdr:nvSpPr>
        <xdr:cNvPr id="20" name="TextBox 19">
          <a:extLst>
            <a:ext uri="{FF2B5EF4-FFF2-40B4-BE49-F238E27FC236}">
              <a16:creationId xmlns:a16="http://schemas.microsoft.com/office/drawing/2014/main" id="{C91A8736-83EE-4C3F-97DE-F9D653E1C464}"/>
            </a:ext>
          </a:extLst>
        </xdr:cNvPr>
        <xdr:cNvSpPr txBox="1"/>
      </xdr:nvSpPr>
      <xdr:spPr>
        <a:xfrm>
          <a:off x="3162835" y="785517"/>
          <a:ext cx="10668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a:t>Patient</a:t>
          </a:r>
          <a:r>
            <a:rPr lang="en-US" sz="800" baseline="0"/>
            <a:t> Satisfaction Score</a:t>
          </a:r>
          <a:endParaRPr lang="en-US" sz="800"/>
        </a:p>
      </xdr:txBody>
    </xdr:sp>
    <xdr:clientData/>
  </xdr:twoCellAnchor>
  <xdr:twoCellAnchor editAs="oneCell">
    <xdr:from>
      <xdr:col>2</xdr:col>
      <xdr:colOff>457735</xdr:colOff>
      <xdr:row>2</xdr:row>
      <xdr:rowOff>156867</xdr:rowOff>
    </xdr:from>
    <xdr:to>
      <xdr:col>3</xdr:col>
      <xdr:colOff>64035</xdr:colOff>
      <xdr:row>3</xdr:row>
      <xdr:rowOff>182267</xdr:rowOff>
    </xdr:to>
    <xdr:pic>
      <xdr:nvPicPr>
        <xdr:cNvPr id="21" name="Graphic 20" descr="User with solid fill">
          <a:extLst>
            <a:ext uri="{FF2B5EF4-FFF2-40B4-BE49-F238E27FC236}">
              <a16:creationId xmlns:a16="http://schemas.microsoft.com/office/drawing/2014/main" id="{D30542FC-6C70-473B-97B0-13B6000B9AB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935" y="537867"/>
          <a:ext cx="215900" cy="215900"/>
        </a:xfrm>
        <a:prstGeom prst="rect">
          <a:avLst/>
        </a:prstGeom>
      </xdr:spPr>
    </xdr:pic>
    <xdr:clientData/>
  </xdr:twoCellAnchor>
  <xdr:twoCellAnchor editAs="oneCell">
    <xdr:from>
      <xdr:col>4</xdr:col>
      <xdr:colOff>406935</xdr:colOff>
      <xdr:row>2</xdr:row>
      <xdr:rowOff>188064</xdr:rowOff>
    </xdr:from>
    <xdr:to>
      <xdr:col>5</xdr:col>
      <xdr:colOff>44985</xdr:colOff>
      <xdr:row>4</xdr:row>
      <xdr:rowOff>4466</xdr:rowOff>
    </xdr:to>
    <xdr:pic>
      <xdr:nvPicPr>
        <xdr:cNvPr id="22" name="Graphic 21" descr="Hourglass Finished with solid fill">
          <a:extLst>
            <a:ext uri="{FF2B5EF4-FFF2-40B4-BE49-F238E27FC236}">
              <a16:creationId xmlns:a16="http://schemas.microsoft.com/office/drawing/2014/main" id="{89AFD0E0-C6E3-4A57-94C4-0C4365B561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45335" y="569064"/>
          <a:ext cx="247650" cy="197402"/>
        </a:xfrm>
        <a:prstGeom prst="rect">
          <a:avLst/>
        </a:prstGeom>
      </xdr:spPr>
    </xdr:pic>
    <xdr:clientData/>
  </xdr:twoCellAnchor>
  <xdr:twoCellAnchor editAs="oneCell">
    <xdr:from>
      <xdr:col>6</xdr:col>
      <xdr:colOff>375185</xdr:colOff>
      <xdr:row>2</xdr:row>
      <xdr:rowOff>182267</xdr:rowOff>
    </xdr:from>
    <xdr:to>
      <xdr:col>6</xdr:col>
      <xdr:colOff>584735</xdr:colOff>
      <xdr:row>4</xdr:row>
      <xdr:rowOff>10817</xdr:rowOff>
    </xdr:to>
    <xdr:pic>
      <xdr:nvPicPr>
        <xdr:cNvPr id="23" name="Graphic 22" descr="Customer review with solid fill">
          <a:extLst>
            <a:ext uri="{FF2B5EF4-FFF2-40B4-BE49-F238E27FC236}">
              <a16:creationId xmlns:a16="http://schemas.microsoft.com/office/drawing/2014/main" id="{F04629A6-6373-49B5-91F3-5BABB40631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32785" y="563267"/>
          <a:ext cx="209550" cy="209550"/>
        </a:xfrm>
        <a:prstGeom prst="rect">
          <a:avLst/>
        </a:prstGeom>
      </xdr:spPr>
    </xdr:pic>
    <xdr:clientData/>
  </xdr:twoCellAnchor>
  <xdr:twoCellAnchor editAs="oneCell">
    <xdr:from>
      <xdr:col>0</xdr:col>
      <xdr:colOff>25935</xdr:colOff>
      <xdr:row>2</xdr:row>
      <xdr:rowOff>175917</xdr:rowOff>
    </xdr:from>
    <xdr:to>
      <xdr:col>1</xdr:col>
      <xdr:colOff>129887</xdr:colOff>
      <xdr:row>15</xdr:row>
      <xdr:rowOff>155864</xdr:rowOff>
    </xdr:to>
    <mc:AlternateContent xmlns:mc="http://schemas.openxmlformats.org/markup-compatibility/2006" xmlns:a14="http://schemas.microsoft.com/office/drawing/2010/main">
      <mc:Choice Requires="a14">
        <xdr:graphicFrame macro="">
          <xdr:nvGraphicFramePr>
            <xdr:cNvPr id="25" name="Date (Month) 1">
              <a:extLst>
                <a:ext uri="{FF2B5EF4-FFF2-40B4-BE49-F238E27FC236}">
                  <a16:creationId xmlns:a16="http://schemas.microsoft.com/office/drawing/2014/main" id="{50629E2D-FE91-48AB-8B63-7C203180B2C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5935" y="556917"/>
              <a:ext cx="714673" cy="2456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77932</xdr:colOff>
      <xdr:row>3</xdr:row>
      <xdr:rowOff>138544</xdr:rowOff>
    </xdr:from>
    <xdr:to>
      <xdr:col>3</xdr:col>
      <xdr:colOff>164523</xdr:colOff>
      <xdr:row>7</xdr:row>
      <xdr:rowOff>100263</xdr:rowOff>
    </xdr:to>
    <xdr:graphicFrame macro="">
      <xdr:nvGraphicFramePr>
        <xdr:cNvPr id="27" name="Chart 26">
          <a:hlinkClick xmlns:r="http://schemas.openxmlformats.org/officeDocument/2006/relationships" r:id="rId1"/>
          <a:extLst>
            <a:ext uri="{FF2B5EF4-FFF2-40B4-BE49-F238E27FC236}">
              <a16:creationId xmlns:a16="http://schemas.microsoft.com/office/drawing/2014/main" id="{C28D8250-C381-6B2B-96DE-64F35D892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594033</xdr:colOff>
      <xdr:row>4</xdr:row>
      <xdr:rowOff>0</xdr:rowOff>
    </xdr:from>
    <xdr:to>
      <xdr:col>5</xdr:col>
      <xdr:colOff>174113</xdr:colOff>
      <xdr:row>7</xdr:row>
      <xdr:rowOff>81936</xdr:rowOff>
    </xdr:to>
    <xdr:graphicFrame macro="">
      <xdr:nvGraphicFramePr>
        <xdr:cNvPr id="26" name="Chart 25">
          <a:hlinkClick xmlns:r="http://schemas.openxmlformats.org/officeDocument/2006/relationships" r:id="rId10"/>
          <a:extLst>
            <a:ext uri="{FF2B5EF4-FFF2-40B4-BE49-F238E27FC236}">
              <a16:creationId xmlns:a16="http://schemas.microsoft.com/office/drawing/2014/main" id="{C2A3FB5D-4FC0-7017-293C-92B2A9274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551447</xdr:colOff>
      <xdr:row>3</xdr:row>
      <xdr:rowOff>170447</xdr:rowOff>
    </xdr:from>
    <xdr:to>
      <xdr:col>7</xdr:col>
      <xdr:colOff>80210</xdr:colOff>
      <xdr:row>7</xdr:row>
      <xdr:rowOff>80211</xdr:rowOff>
    </xdr:to>
    <xdr:graphicFrame macro="">
      <xdr:nvGraphicFramePr>
        <xdr:cNvPr id="29" name="Chart 28">
          <a:hlinkClick xmlns:r="http://schemas.openxmlformats.org/officeDocument/2006/relationships" r:id="rId12"/>
          <a:extLst>
            <a:ext uri="{FF2B5EF4-FFF2-40B4-BE49-F238E27FC236}">
              <a16:creationId xmlns:a16="http://schemas.microsoft.com/office/drawing/2014/main" id="{7F4DCBCE-A747-455D-A964-20DDA7092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161192</xdr:colOff>
          <xdr:row>6</xdr:row>
          <xdr:rowOff>183173</xdr:rowOff>
        </xdr:from>
        <xdr:to>
          <xdr:col>6</xdr:col>
          <xdr:colOff>578827</xdr:colOff>
          <xdr:row>9</xdr:row>
          <xdr:rowOff>109904</xdr:rowOff>
        </xdr:to>
        <xdr:pic>
          <xdr:nvPicPr>
            <xdr:cNvPr id="34" name="Picture 33">
              <a:extLst>
                <a:ext uri="{FF2B5EF4-FFF2-40B4-BE49-F238E27FC236}">
                  <a16:creationId xmlns:a16="http://schemas.microsoft.com/office/drawing/2014/main" id="{FDDEC0AA-F185-435D-9356-69BA90976C9F}"/>
                </a:ext>
              </a:extLst>
            </xdr:cNvPr>
            <xdr:cNvPicPr>
              <a:picLocks noChangeAspect="1" noChangeArrowheads="1"/>
              <a:extLst>
                <a:ext uri="{84589F7E-364E-4C9E-8A38-B11213B215E9}">
                  <a14:cameraTool cellRange="'Pivot Report'!$AB$22:$AD$24" spid="_x0000_s1049"/>
                </a:ext>
              </a:extLst>
            </xdr:cNvPicPr>
          </xdr:nvPicPr>
          <xdr:blipFill>
            <a:blip xmlns:r="http://schemas.openxmlformats.org/officeDocument/2006/relationships" r:embed="rId14"/>
            <a:srcRect/>
            <a:stretch>
              <a:fillRect/>
            </a:stretch>
          </xdr:blipFill>
          <xdr:spPr bwMode="auto">
            <a:xfrm>
              <a:off x="769327" y="1326173"/>
              <a:ext cx="3458308" cy="4982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183174</xdr:colOff>
      <xdr:row>8</xdr:row>
      <xdr:rowOff>131884</xdr:rowOff>
    </xdr:from>
    <xdr:to>
      <xdr:col>6</xdr:col>
      <xdr:colOff>571501</xdr:colOff>
      <xdr:row>14</xdr:row>
      <xdr:rowOff>95250</xdr:rowOff>
    </xdr:to>
    <xdr:graphicFrame macro="">
      <xdr:nvGraphicFramePr>
        <xdr:cNvPr id="24" name="Chart 23">
          <a:extLst>
            <a:ext uri="{FF2B5EF4-FFF2-40B4-BE49-F238E27FC236}">
              <a16:creationId xmlns:a16="http://schemas.microsoft.com/office/drawing/2014/main" id="{3BDE4FD7-7AC0-475A-86F6-A0B03A421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21980</xdr:colOff>
      <xdr:row>0</xdr:row>
      <xdr:rowOff>29309</xdr:rowOff>
    </xdr:from>
    <xdr:to>
      <xdr:col>9</xdr:col>
      <xdr:colOff>227133</xdr:colOff>
      <xdr:row>5</xdr:row>
      <xdr:rowOff>124559</xdr:rowOff>
    </xdr:to>
    <xdr:graphicFrame macro="">
      <xdr:nvGraphicFramePr>
        <xdr:cNvPr id="28" name="Chart 27">
          <a:extLst>
            <a:ext uri="{FF2B5EF4-FFF2-40B4-BE49-F238E27FC236}">
              <a16:creationId xmlns:a16="http://schemas.microsoft.com/office/drawing/2014/main" id="{38283D55-63A2-499B-8EC8-51F8793E5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10793</xdr:colOff>
      <xdr:row>14</xdr:row>
      <xdr:rowOff>74805</xdr:rowOff>
    </xdr:from>
    <xdr:to>
      <xdr:col>5</xdr:col>
      <xdr:colOff>29308</xdr:colOff>
      <xdr:row>15</xdr:row>
      <xdr:rowOff>51288</xdr:rowOff>
    </xdr:to>
    <xdr:sp macro="" textlink="">
      <xdr:nvSpPr>
        <xdr:cNvPr id="30" name="TextBox 29">
          <a:extLst>
            <a:ext uri="{FF2B5EF4-FFF2-40B4-BE49-F238E27FC236}">
              <a16:creationId xmlns:a16="http://schemas.microsoft.com/office/drawing/2014/main" id="{86E66047-CD33-53F1-12C5-03589A9589F7}"/>
            </a:ext>
          </a:extLst>
        </xdr:cNvPr>
        <xdr:cNvSpPr txBox="1"/>
      </xdr:nvSpPr>
      <xdr:spPr>
        <a:xfrm>
          <a:off x="1835197" y="2741805"/>
          <a:ext cx="1234784" cy="166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b="1"/>
            <a:t>No.</a:t>
          </a:r>
          <a:r>
            <a:rPr lang="en-US" sz="800" b="1" baseline="0"/>
            <a:t> of  patient by Age  Group</a:t>
          </a:r>
          <a:endParaRPr lang="en-US" sz="800" b="1"/>
        </a:p>
      </xdr:txBody>
    </xdr:sp>
    <xdr:clientData/>
  </xdr:twoCellAnchor>
  <xdr:twoCellAnchor>
    <xdr:from>
      <xdr:col>9</xdr:col>
      <xdr:colOff>147074</xdr:colOff>
      <xdr:row>0</xdr:row>
      <xdr:rowOff>23518</xdr:rowOff>
    </xdr:from>
    <xdr:to>
      <xdr:col>11</xdr:col>
      <xdr:colOff>102577</xdr:colOff>
      <xdr:row>5</xdr:row>
      <xdr:rowOff>139212</xdr:rowOff>
    </xdr:to>
    <xdr:graphicFrame macro="">
      <xdr:nvGraphicFramePr>
        <xdr:cNvPr id="32" name="Chart 31">
          <a:extLst>
            <a:ext uri="{FF2B5EF4-FFF2-40B4-BE49-F238E27FC236}">
              <a16:creationId xmlns:a16="http://schemas.microsoft.com/office/drawing/2014/main" id="{A10ADD22-6F08-48C1-B616-0A2608533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65943</xdr:colOff>
      <xdr:row>6</xdr:row>
      <xdr:rowOff>29306</xdr:rowOff>
    </xdr:from>
    <xdr:to>
      <xdr:col>11</xdr:col>
      <xdr:colOff>197827</xdr:colOff>
      <xdr:row>15</xdr:row>
      <xdr:rowOff>146537</xdr:rowOff>
    </xdr:to>
    <xdr:graphicFrame macro="">
      <xdr:nvGraphicFramePr>
        <xdr:cNvPr id="33" name="Chart 32">
          <a:extLst>
            <a:ext uri="{FF2B5EF4-FFF2-40B4-BE49-F238E27FC236}">
              <a16:creationId xmlns:a16="http://schemas.microsoft.com/office/drawing/2014/main" id="{3CD27064-F34F-446F-B07E-FB04A8FBB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501696</xdr:colOff>
      <xdr:row>14</xdr:row>
      <xdr:rowOff>190499</xdr:rowOff>
    </xdr:from>
    <xdr:to>
      <xdr:col>10</xdr:col>
      <xdr:colOff>278423</xdr:colOff>
      <xdr:row>15</xdr:row>
      <xdr:rowOff>183173</xdr:rowOff>
    </xdr:to>
    <xdr:sp macro="" textlink="">
      <xdr:nvSpPr>
        <xdr:cNvPr id="35" name="TextBox 34">
          <a:extLst>
            <a:ext uri="{FF2B5EF4-FFF2-40B4-BE49-F238E27FC236}">
              <a16:creationId xmlns:a16="http://schemas.microsoft.com/office/drawing/2014/main" id="{9403C6E2-7B97-1765-95D2-4F3A40C7D8DF}"/>
            </a:ext>
          </a:extLst>
        </xdr:cNvPr>
        <xdr:cNvSpPr txBox="1"/>
      </xdr:nvSpPr>
      <xdr:spPr>
        <a:xfrm>
          <a:off x="4758638" y="2857499"/>
          <a:ext cx="1601131"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b="1"/>
            <a:t>No.</a:t>
          </a:r>
          <a:r>
            <a:rPr lang="en-US" sz="800" b="1" baseline="0"/>
            <a:t> of  Patient By Department Referal </a:t>
          </a:r>
          <a:endParaRPr lang="en-US" sz="800" b="1"/>
        </a:p>
      </xdr:txBody>
    </xdr:sp>
    <xdr:clientData/>
  </xdr:twoCellAnchor>
  <xdr:twoCellAnchor editAs="oneCell">
    <xdr:from>
      <xdr:col>5</xdr:col>
      <xdr:colOff>315058</xdr:colOff>
      <xdr:row>0</xdr:row>
      <xdr:rowOff>95250</xdr:rowOff>
    </xdr:from>
    <xdr:to>
      <xdr:col>6</xdr:col>
      <xdr:colOff>600807</xdr:colOff>
      <xdr:row>2</xdr:row>
      <xdr:rowOff>80596</xdr:rowOff>
    </xdr:to>
    <mc:AlternateContent xmlns:mc="http://schemas.openxmlformats.org/markup-compatibility/2006">
      <mc:Choice xmlns:a14="http://schemas.microsoft.com/office/drawing/2010/main" Requires="a14">
        <xdr:graphicFrame macro="">
          <xdr:nvGraphicFramePr>
            <xdr:cNvPr id="36" name="Date (Year) 2">
              <a:extLst>
                <a:ext uri="{FF2B5EF4-FFF2-40B4-BE49-F238E27FC236}">
                  <a16:creationId xmlns:a16="http://schemas.microsoft.com/office/drawing/2014/main" id="{19EAEBE9-D76F-4DAF-AAC4-9A36C11EAA2E}"/>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dr:sp macro="" textlink="">
          <xdr:nvSpPr>
            <xdr:cNvPr id="0" name=""/>
            <xdr:cNvSpPr>
              <a:spLocks noTextEdit="1"/>
            </xdr:cNvSpPr>
          </xdr:nvSpPr>
          <xdr:spPr>
            <a:xfrm>
              <a:off x="3355731" y="95250"/>
              <a:ext cx="893884" cy="366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281888</xdr:colOff>
      <xdr:row>4</xdr:row>
      <xdr:rowOff>175846</xdr:rowOff>
    </xdr:from>
    <xdr:to>
      <xdr:col>9</xdr:col>
      <xdr:colOff>7326</xdr:colOff>
      <xdr:row>5</xdr:row>
      <xdr:rowOff>151981</xdr:rowOff>
    </xdr:to>
    <xdr:sp macro="" textlink="">
      <xdr:nvSpPr>
        <xdr:cNvPr id="37" name="TextBox 36">
          <a:extLst>
            <a:ext uri="{FF2B5EF4-FFF2-40B4-BE49-F238E27FC236}">
              <a16:creationId xmlns:a16="http://schemas.microsoft.com/office/drawing/2014/main" id="{791FA3F5-AA34-D118-BB77-00C4FBED9C5E}"/>
            </a:ext>
          </a:extLst>
        </xdr:cNvPr>
        <xdr:cNvSpPr txBox="1"/>
      </xdr:nvSpPr>
      <xdr:spPr>
        <a:xfrm>
          <a:off x="4538830" y="937846"/>
          <a:ext cx="941708" cy="166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b="1"/>
            <a:t>Patient</a:t>
          </a:r>
          <a:r>
            <a:rPr lang="en-US" sz="800" b="1" baseline="0"/>
            <a:t> Attend Status</a:t>
          </a:r>
          <a:endParaRPr lang="en-US" sz="800" b="1"/>
        </a:p>
      </xdr:txBody>
    </xdr:sp>
    <xdr:clientData/>
  </xdr:twoCellAnchor>
  <xdr:twoCellAnchor editAs="absolute">
    <xdr:from>
      <xdr:col>9</xdr:col>
      <xdr:colOff>318521</xdr:colOff>
      <xdr:row>5</xdr:row>
      <xdr:rowOff>7327</xdr:rowOff>
    </xdr:from>
    <xdr:to>
      <xdr:col>11</xdr:col>
      <xdr:colOff>36634</xdr:colOff>
      <xdr:row>5</xdr:row>
      <xdr:rowOff>181290</xdr:rowOff>
    </xdr:to>
    <xdr:sp macro="" textlink="">
      <xdr:nvSpPr>
        <xdr:cNvPr id="38" name="TextBox 37">
          <a:extLst>
            <a:ext uri="{FF2B5EF4-FFF2-40B4-BE49-F238E27FC236}">
              <a16:creationId xmlns:a16="http://schemas.microsoft.com/office/drawing/2014/main" id="{423120CA-40E4-C93E-C88E-8FAC3FD5D0A6}"/>
            </a:ext>
          </a:extLst>
        </xdr:cNvPr>
        <xdr:cNvSpPr txBox="1"/>
      </xdr:nvSpPr>
      <xdr:spPr>
        <a:xfrm>
          <a:off x="5791733" y="959827"/>
          <a:ext cx="934382" cy="17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800" b="1"/>
            <a:t>Gender</a:t>
          </a:r>
          <a:r>
            <a:rPr lang="en-US" sz="800" b="1" baseline="0"/>
            <a:t> wise Analyze</a:t>
          </a:r>
          <a:endParaRPr lang="en-US" sz="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xdr:row>
      <xdr:rowOff>19050</xdr:rowOff>
    </xdr:from>
    <xdr:to>
      <xdr:col>12</xdr:col>
      <xdr:colOff>400050</xdr:colOff>
      <xdr:row>17</xdr:row>
      <xdr:rowOff>27214</xdr:rowOff>
    </xdr:to>
    <xdr:graphicFrame macro="">
      <xdr:nvGraphicFramePr>
        <xdr:cNvPr id="2" name="Chart 1">
          <a:extLst>
            <a:ext uri="{FF2B5EF4-FFF2-40B4-BE49-F238E27FC236}">
              <a16:creationId xmlns:a16="http://schemas.microsoft.com/office/drawing/2014/main" id="{800DEEBC-FD87-402D-9868-4DBB76BF6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88447</xdr:colOff>
      <xdr:row>2</xdr:row>
      <xdr:rowOff>70757</xdr:rowOff>
    </xdr:from>
    <xdr:to>
      <xdr:col>0</xdr:col>
      <xdr:colOff>612321</xdr:colOff>
      <xdr:row>5</xdr:row>
      <xdr:rowOff>23131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6F08D31-B018-6B83-75A6-36650EB502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447" y="451757"/>
          <a:ext cx="523874" cy="5238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152400</xdr:colOff>
      <xdr:row>17</xdr:row>
      <xdr:rowOff>95250</xdr:rowOff>
    </xdr:from>
    <xdr:to>
      <xdr:col>5</xdr:col>
      <xdr:colOff>1981200</xdr:colOff>
      <xdr:row>31</xdr:row>
      <xdr:rowOff>95250</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80415B55-F2C7-798B-AE80-33E5D28C1AC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620000" y="3333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499221</xdr:colOff>
      <xdr:row>34</xdr:row>
      <xdr:rowOff>169209</xdr:rowOff>
    </xdr:from>
    <xdr:to>
      <xdr:col>3</xdr:col>
      <xdr:colOff>1622051</xdr:colOff>
      <xdr:row>45</xdr:row>
      <xdr:rowOff>183495</xdr:rowOff>
    </xdr:to>
    <xdr:graphicFrame macro="">
      <xdr:nvGraphicFramePr>
        <xdr:cNvPr id="4" name="Chart 3">
          <a:extLst>
            <a:ext uri="{FF2B5EF4-FFF2-40B4-BE49-F238E27FC236}">
              <a16:creationId xmlns:a16="http://schemas.microsoft.com/office/drawing/2014/main" id="{A7EA85A9-0B63-2A2C-880D-2515292EF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1552575</xdr:colOff>
      <xdr:row>0</xdr:row>
      <xdr:rowOff>0</xdr:rowOff>
    </xdr:from>
    <xdr:to>
      <xdr:col>15</xdr:col>
      <xdr:colOff>152400</xdr:colOff>
      <xdr:row>9</xdr:row>
      <xdr:rowOff>85725</xdr:rowOff>
    </xdr:to>
    <xdr:graphicFrame macro="">
      <xdr:nvGraphicFramePr>
        <xdr:cNvPr id="2" name="Chart 1">
          <a:extLst>
            <a:ext uri="{FF2B5EF4-FFF2-40B4-BE49-F238E27FC236}">
              <a16:creationId xmlns:a16="http://schemas.microsoft.com/office/drawing/2014/main" id="{BDB4ACCE-B968-F303-1DD5-6ABD4B0CC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80962</xdr:colOff>
      <xdr:row>0</xdr:row>
      <xdr:rowOff>14287</xdr:rowOff>
    </xdr:from>
    <xdr:to>
      <xdr:col>21</xdr:col>
      <xdr:colOff>2066925</xdr:colOff>
      <xdr:row>9</xdr:row>
      <xdr:rowOff>142875</xdr:rowOff>
    </xdr:to>
    <xdr:graphicFrame macro="">
      <xdr:nvGraphicFramePr>
        <xdr:cNvPr id="5" name="Chart 4">
          <a:extLst>
            <a:ext uri="{FF2B5EF4-FFF2-40B4-BE49-F238E27FC236}">
              <a16:creationId xmlns:a16="http://schemas.microsoft.com/office/drawing/2014/main" id="{1AEE0B0E-CAE3-A5F4-A194-0199F702D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457201</xdr:colOff>
      <xdr:row>21</xdr:row>
      <xdr:rowOff>19050</xdr:rowOff>
    </xdr:from>
    <xdr:to>
      <xdr:col>30</xdr:col>
      <xdr:colOff>247649</xdr:colOff>
      <xdr:row>24</xdr:row>
      <xdr:rowOff>171450</xdr:rowOff>
    </xdr:to>
    <xdr:graphicFrame macro="">
      <xdr:nvGraphicFramePr>
        <xdr:cNvPr id="6" name="Chart 5">
          <a:extLst>
            <a:ext uri="{FF2B5EF4-FFF2-40B4-BE49-F238E27FC236}">
              <a16:creationId xmlns:a16="http://schemas.microsoft.com/office/drawing/2014/main" id="{2A4362AB-EADE-BB67-C8FD-F18B395AE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485775</xdr:colOff>
      <xdr:row>26</xdr:row>
      <xdr:rowOff>104774</xdr:rowOff>
    </xdr:from>
    <xdr:to>
      <xdr:col>39</xdr:col>
      <xdr:colOff>323850</xdr:colOff>
      <xdr:row>36</xdr:row>
      <xdr:rowOff>4761</xdr:rowOff>
    </xdr:to>
    <xdr:graphicFrame macro="">
      <xdr:nvGraphicFramePr>
        <xdr:cNvPr id="7" name="Chart 6">
          <a:extLst>
            <a:ext uri="{FF2B5EF4-FFF2-40B4-BE49-F238E27FC236}">
              <a16:creationId xmlns:a16="http://schemas.microsoft.com/office/drawing/2014/main" id="{44A41196-7FF9-622B-4245-ACC88A216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400052</xdr:colOff>
      <xdr:row>19</xdr:row>
      <xdr:rowOff>114300</xdr:rowOff>
    </xdr:from>
    <xdr:to>
      <xdr:col>44</xdr:col>
      <xdr:colOff>276226</xdr:colOff>
      <xdr:row>28</xdr:row>
      <xdr:rowOff>109537</xdr:rowOff>
    </xdr:to>
    <xdr:graphicFrame macro="">
      <xdr:nvGraphicFramePr>
        <xdr:cNvPr id="8" name="Chart 7">
          <a:extLst>
            <a:ext uri="{FF2B5EF4-FFF2-40B4-BE49-F238E27FC236}">
              <a16:creationId xmlns:a16="http://schemas.microsoft.com/office/drawing/2014/main" id="{EE9C29C9-CAA1-FF9B-6EF7-ABA85338C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209551</xdr:colOff>
      <xdr:row>20</xdr:row>
      <xdr:rowOff>0</xdr:rowOff>
    </xdr:from>
    <xdr:to>
      <xdr:col>50</xdr:col>
      <xdr:colOff>95250</xdr:colOff>
      <xdr:row>28</xdr:row>
      <xdr:rowOff>42861</xdr:rowOff>
    </xdr:to>
    <xdr:graphicFrame macro="">
      <xdr:nvGraphicFramePr>
        <xdr:cNvPr id="10" name="Chart 9">
          <a:extLst>
            <a:ext uri="{FF2B5EF4-FFF2-40B4-BE49-F238E27FC236}">
              <a16:creationId xmlns:a16="http://schemas.microsoft.com/office/drawing/2014/main" id="{ECC5DF94-CC44-5129-C8FD-6221DCB14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466724</xdr:colOff>
      <xdr:row>27</xdr:row>
      <xdr:rowOff>171450</xdr:rowOff>
    </xdr:from>
    <xdr:to>
      <xdr:col>55</xdr:col>
      <xdr:colOff>342899</xdr:colOff>
      <xdr:row>39</xdr:row>
      <xdr:rowOff>119061</xdr:rowOff>
    </xdr:to>
    <xdr:graphicFrame macro="">
      <xdr:nvGraphicFramePr>
        <xdr:cNvPr id="12" name="Chart 11">
          <a:extLst>
            <a:ext uri="{FF2B5EF4-FFF2-40B4-BE49-F238E27FC236}">
              <a16:creationId xmlns:a16="http://schemas.microsoft.com/office/drawing/2014/main" id="{6F4AB41A-8BBC-74BC-B39C-B3C93AC14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47</xdr:col>
      <xdr:colOff>161925</xdr:colOff>
      <xdr:row>5</xdr:row>
      <xdr:rowOff>9525</xdr:rowOff>
    </xdr:from>
    <xdr:to>
      <xdr:col>49</xdr:col>
      <xdr:colOff>28574</xdr:colOff>
      <xdr:row>7</xdr:row>
      <xdr:rowOff>47624</xdr:rowOff>
    </xdr:to>
    <mc:AlternateContent xmlns:mc="http://schemas.openxmlformats.org/markup-compatibility/2006">
      <mc:Choice xmlns:a14="http://schemas.microsoft.com/office/drawing/2010/main" Requires="a14">
        <xdr:graphicFrame macro="">
          <xdr:nvGraphicFramePr>
            <xdr:cNvPr id="9" name="Date (Year)">
              <a:extLst>
                <a:ext uri="{FF2B5EF4-FFF2-40B4-BE49-F238E27FC236}">
                  <a16:creationId xmlns:a16="http://schemas.microsoft.com/office/drawing/2014/main" id="{E6094592-B58A-79D2-0592-0D93E1338E8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4205525" y="962025"/>
              <a:ext cx="1085849"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81642</xdr:colOff>
      <xdr:row>16</xdr:row>
      <xdr:rowOff>129267</xdr:rowOff>
    </xdr:to>
    <xdr:graphicFrame macro="">
      <xdr:nvGraphicFramePr>
        <xdr:cNvPr id="2" name="Chart 1">
          <a:extLst>
            <a:ext uri="{FF2B5EF4-FFF2-40B4-BE49-F238E27FC236}">
              <a16:creationId xmlns:a16="http://schemas.microsoft.com/office/drawing/2014/main" id="{8F628D29-9A9C-4389-96F0-015C7E7DD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517070</xdr:colOff>
      <xdr:row>16</xdr:row>
      <xdr:rowOff>122464</xdr:rowOff>
    </xdr:from>
    <xdr:to>
      <xdr:col>11</xdr:col>
      <xdr:colOff>163284</xdr:colOff>
      <xdr:row>17</xdr:row>
      <xdr:rowOff>149679</xdr:rowOff>
    </xdr:to>
    <xdr:sp macro="" textlink="">
      <xdr:nvSpPr>
        <xdr:cNvPr id="3" name="TextBox 2">
          <a:extLst>
            <a:ext uri="{FF2B5EF4-FFF2-40B4-BE49-F238E27FC236}">
              <a16:creationId xmlns:a16="http://schemas.microsoft.com/office/drawing/2014/main" id="{362A5AEB-216B-8BA5-6BD3-D17048040453}"/>
            </a:ext>
          </a:extLst>
        </xdr:cNvPr>
        <xdr:cNvSpPr txBox="1"/>
      </xdr:nvSpPr>
      <xdr:spPr>
        <a:xfrm>
          <a:off x="1741713" y="3170464"/>
          <a:ext cx="5157107"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Showing a daily with an area sparking</a:t>
          </a:r>
          <a:r>
            <a:rPr lang="en-US" sz="1100" baseline="0"/>
            <a:t> to spot patterns like busy days or seasonal trends</a:t>
          </a:r>
          <a:endParaRPr lang="en-US" sz="1100"/>
        </a:p>
      </xdr:txBody>
    </xdr:sp>
    <xdr:clientData/>
  </xdr:twoCellAnchor>
  <xdr:twoCellAnchor editAs="oneCell">
    <xdr:from>
      <xdr:col>0</xdr:col>
      <xdr:colOff>47627</xdr:colOff>
      <xdr:row>0</xdr:row>
      <xdr:rowOff>163288</xdr:rowOff>
    </xdr:from>
    <xdr:to>
      <xdr:col>1</xdr:col>
      <xdr:colOff>2</xdr:colOff>
      <xdr:row>3</xdr:row>
      <xdr:rowOff>156484</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9A4D4A2A-1017-438D-84F0-D2E8476FFE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627" y="163288"/>
          <a:ext cx="564696" cy="564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47625</xdr:colOff>
      <xdr:row>17</xdr:row>
      <xdr:rowOff>7327</xdr:rowOff>
    </xdr:to>
    <xdr:graphicFrame macro="">
      <xdr:nvGraphicFramePr>
        <xdr:cNvPr id="2" name="Chart 1">
          <a:extLst>
            <a:ext uri="{FF2B5EF4-FFF2-40B4-BE49-F238E27FC236}">
              <a16:creationId xmlns:a16="http://schemas.microsoft.com/office/drawing/2014/main" id="{497354D1-A19A-4C70-8E3E-FD54C8965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0.00589</cdr:x>
      <cdr:y>0.06562</cdr:y>
    </cdr:from>
    <cdr:to>
      <cdr:x>0.06667</cdr:x>
      <cdr:y>0.23708</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6F08D31-B018-6B83-75A6-36650EB5025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200478"/>
          <a:ext cx="523874" cy="523874"/>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0162034" createdVersion="5" refreshedVersion="8" minRefreshableVersion="3" recordCount="0" supportSubquery="1" supportAdvancedDrill="1" xr:uid="{CF684367-F1DD-424F-A39A-7BDF928DC46E}">
  <cacheSource type="external" connectionId="3"/>
  <cacheFields count="4">
    <cacheField name="[Measures].[Distinct Count of Patient Id]" caption="Distinct Count of Patient Id" numFmtId="0" hierarchy="29"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1782404" createdVersion="5" refreshedVersion="8" minRefreshableVersion="3" recordCount="0" supportSubquery="1" supportAdvancedDrill="1" xr:uid="{1AE97457-E438-45BB-9F6C-ABD7671ABB6A}">
  <cacheSource type="external" connectionId="3"/>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2939813" createdVersion="5" refreshedVersion="8" minRefreshableVersion="3" recordCount="0" supportSubquery="1" supportAdvancedDrill="1" xr:uid="{79A7E84C-6466-4A03-9C96-D520A527B375}">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3865744" createdVersion="5" refreshedVersion="8" minRefreshableVersion="3" recordCount="0" supportSubquery="1" supportAdvancedDrill="1" xr:uid="{1DE3B501-7D0A-4264-9D7B-B0061000944D}">
  <cacheSource type="external" connectionId="3"/>
  <cacheFields count="3">
    <cacheField name="[Measures].[Average of Patient Satisfaction Score]" caption="Average of Patient Satisfaction Scor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525463" createdVersion="5" refreshedVersion="8" minRefreshableVersion="3" recordCount="0" supportSubquery="1" supportAdvancedDrill="1" xr:uid="{8A2F6FC8-67C8-4DEC-9EB5-9E97FA97A0FB}">
  <cacheSource type="external" connectionId="3"/>
  <cacheFields count="4">
    <cacheField name="[Measures].[Average of Patient Waittime]" caption="Average of Patient Waittime" numFmtId="0" hierarchy="27"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6527777" createdVersion="5" refreshedVersion="8" minRefreshableVersion="3" recordCount="0" supportSubquery="1" supportAdvancedDrill="1" xr:uid="{558AF580-A3E4-434F-BF7F-456118798597}">
  <cacheSource type="external" connectionId="3"/>
  <cacheFields count="4">
    <cacheField name="[Calende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Measures].[Average of Patient Satisfaction Score]" caption="Average of Patient Satisfaction Scor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8379632" createdVersion="5" refreshedVersion="8" minRefreshableVersion="3" recordCount="0" supportSubquery="1" supportAdvancedDrill="1" xr:uid="{1653310E-4954-437D-8C08-A962089929AC}">
  <cacheSource type="external" connectionId="3"/>
  <cacheFields count="5">
    <cacheField name="[Hospital_Emergency_Room_Clean].[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Dummy0" numFmtId="0" hierarchy="38" level="32767">
      <extLst>
        <ext xmlns:x14="http://schemas.microsoft.com/office/spreadsheetml/2009/9/main" uri="{63CAB8AC-B538-458d-9737-405883B0398D}">
          <x14:cacheField ignore="1"/>
        </ext>
      </extLst>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2" memberValueDatatype="130" unbalanced="0">
      <fieldsUsage count="2">
        <fieldUsage x="-1"/>
        <fieldUsage x="0"/>
      </fieldsUsage>
    </cacheHierarchy>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9074071" createdVersion="5" refreshedVersion="8" minRefreshableVersion="3" recordCount="0" supportSubquery="1" supportAdvancedDrill="1" xr:uid="{D21EF9F7-C9EE-4419-9B3F-69B037891D26}">
  <cacheSource type="external" connectionId="3"/>
  <cacheFields count="4">
    <cacheField name="[Hospital_Emergency_Room_Clean].[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2" memberValueDatatype="130" unbalanced="0">
      <fieldsUsage count="2">
        <fieldUsage x="-1"/>
        <fieldUsage x="0"/>
      </fieldsUsage>
    </cacheHierarchy>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499768517" createdVersion="5" refreshedVersion="8" minRefreshableVersion="3" recordCount="0" supportSubquery="1" supportAdvancedDrill="1" xr:uid="{5C59A644-7BEF-444E-A9BF-E9D2F3CB15E4}">
  <cacheSource type="external" connectionId="3"/>
  <cacheFields count="4">
    <cacheField name="[Hospital_Emergency_Room_Clean].[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2" memberValueDatatype="130" unbalanced="0">
      <fieldsUsage count="2">
        <fieldUsage x="-1"/>
        <fieldUsage x="0"/>
      </fieldsUsage>
    </cacheHierarchy>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501388888" createdVersion="5" refreshedVersion="8" minRefreshableVersion="3" recordCount="0" supportSubquery="1" supportAdvancedDrill="1" xr:uid="{530177A2-36AE-4F08-9072-2707D8B42949}">
  <cacheSource type="external" connectionId="3"/>
  <cacheFields count="4">
    <cacheField name="[Hospital_Emergency_Room_Clean].[Patient Wating Status].[Patient Wating Status]" caption="Patient Wating Status" numFmtId="0" hierarchy="17" level="1">
      <sharedItems count="2">
        <s v="Delay"/>
        <s v="Ontime"/>
      </sharedItems>
    </cacheField>
    <cacheField name="[Measures].[Count of Patient Wating Status]" caption="Count of Patient Wating Status" numFmtId="0" hierarchy="3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501967595" createdVersion="5" refreshedVersion="8" minRefreshableVersion="3" recordCount="0" supportSubquery="1" supportAdvancedDrill="1" xr:uid="{39F007C3-2E48-46C1-B922-A80E6570834A}">
  <cacheSource type="external" connectionId="3"/>
  <cacheFields count="4">
    <cacheField name="[Measures].[Count of Patient Gender]" caption="Count of Patient Gender" numFmtId="0" hierarchy="35" level="32767"/>
    <cacheField name="[Hospital_Emergency_Room_Clean].[Patient Gender].[Patient Gender]" caption="Patient Gender" numFmtId="0" hierarchy="9" level="1">
      <sharedItems count="2">
        <s v="Female"/>
        <s v="Male"/>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2" memberValueDatatype="130" unbalanced="0">
      <fieldsUsage count="2">
        <fieldUsage x="-1"/>
        <fieldUsage x="1"/>
      </fieldsUsage>
    </cacheHierarchy>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502662035" createdVersion="5" refreshedVersion="8" minRefreshableVersion="3" recordCount="0" supportSubquery="1" supportAdvancedDrill="1" xr:uid="{B03A4E04-BDAC-4642-9934-097E4CD75834}">
  <cacheSource type="external" connectionId="3"/>
  <cacheFields count="4">
    <cacheField name="[Hospital_Emergency_Room_Clean].[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2" memberValueDatatype="130" unbalanced="0">
      <fieldsUsage count="2">
        <fieldUsage x="-1"/>
        <fieldUsage x="0"/>
      </fieldsUsage>
    </cacheHierarchy>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75503356481" createdVersion="5" refreshedVersion="8" minRefreshableVersion="3" recordCount="0" supportSubquery="1" supportAdvancedDrill="1" xr:uid="{D67FF3C0-7A02-4902-90AD-446EBA2CB6DB}">
  <cacheSource type="external" connectionId="3"/>
  <cacheFields count="4">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8">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2"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2"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2"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2"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2"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2"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2"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2"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2"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2"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2"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2"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Clean" uniqueName="[Hospital_Emergency_Room_Clean]" caption="Hospital_Emergency_Room_Clean"/>
    <dimension measure="1" name="Measures" uniqueName="[Measures]" caption="Measures"/>
  </dimensions>
  <measureGroups count="2">
    <measureGroup name="Calender_Table" caption="Calender_Table"/>
    <measureGroup name="Hospital_Emergency_Room_Clean" caption="Hospital_Emergency_Room_Clea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183.857606944446" createdVersion="3" refreshedVersion="8" minRefreshableVersion="3" recordCount="0" supportSubquery="1" supportAdvancedDrill="1" xr:uid="{09E77107-D401-4D0F-9CD4-7DFB231943EF}">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Clean].[Patient Id]" caption="Patient Id" attribute="1" defaultMemberUniqueName="[Hospital_Emergency_Room_Clean].[Patient Id].[All]" allUniqueName="[Hospital_Emergency_Room_Clean].[Patient Id].[All]" dimensionUniqueName="[Hospital_Emergency_Room_Clean]" displayFolder="" count="0" memberValueDatatype="130" unbalanced="0"/>
    <cacheHierarchy uniqueName="[Hospital_Emergency_Room_Clean].[Patient Admission Date.1]" caption="Patient Admission Date.1" attribute="1" time="1" defaultMemberUniqueName="[Hospital_Emergency_Room_Clean].[Patient Admission Date.1].[All]" allUniqueName="[Hospital_Emergency_Room_Clean].[Patient Admission Date.1].[All]" dimensionUniqueName="[Hospital_Emergency_Room_Clean]" displayFolder="" count="0" memberValueDatatype="7" unbalanced="0"/>
    <cacheHierarchy uniqueName="[Hospital_Emergency_Room_Clean].[Patient Admission Date.2]" caption="Patient Admission Date.2" attribute="1" time="1" defaultMemberUniqueName="[Hospital_Emergency_Room_Clean].[Patient Admission Date.2].[All]" allUniqueName="[Hospital_Emergency_Room_Clean].[Patient Admission Date.2].[All]" dimensionUniqueName="[Hospital_Emergency_Room_Clean]" displayFolder="" count="0" memberValueDatatype="7" unbalanced="0"/>
    <cacheHierarchy uniqueName="[Hospital_Emergency_Room_Clean].[Ptient Full Name]" caption="Ptient Full Name" attribute="1" defaultMemberUniqueName="[Hospital_Emergency_Room_Clean].[Ptient Full Name].[All]" allUniqueName="[Hospital_Emergency_Room_Clean].[Ptient Full Name].[All]" dimensionUniqueName="[Hospital_Emergency_Room_Clean]" displayFolder="" count="0" memberValueDatatype="130" unbalanced="0"/>
    <cacheHierarchy uniqueName="[Hospital_Emergency_Room_Clean].[Patient Gender]" caption="Patient Gender" attribute="1" defaultMemberUniqueName="[Hospital_Emergency_Room_Clean].[Patient Gender].[All]" allUniqueName="[Hospital_Emergency_Room_Clean].[Patient Gender].[All]" dimensionUniqueName="[Hospital_Emergency_Room_Clean]" displayFolder="" count="0" memberValueDatatype="130" unbalanced="0"/>
    <cacheHierarchy uniqueName="[Hospital_Emergency_Room_Clean].[Patient Age]" caption="Patient Age" attribute="1" defaultMemberUniqueName="[Hospital_Emergency_Room_Clean].[Patient Age].[All]" allUniqueName="[Hospital_Emergency_Room_Clean].[Patient Age].[All]" dimensionUniqueName="[Hospital_Emergency_Room_Clean]" displayFolder="" count="0" memberValueDatatype="20" unbalanced="0"/>
    <cacheHierarchy uniqueName="[Hospital_Emergency_Room_Clean].[Patient Race]" caption="Patient Race" attribute="1" defaultMemberUniqueName="[Hospital_Emergency_Room_Clean].[Patient Race].[All]" allUniqueName="[Hospital_Emergency_Room_Clean].[Patient Race].[All]" dimensionUniqueName="[Hospital_Emergency_Room_Clean]" displayFolder="" count="0" memberValueDatatype="130" unbalanced="0"/>
    <cacheHierarchy uniqueName="[Hospital_Emergency_Room_Clean].[Department Referral]" caption="Department Referral" attribute="1" defaultMemberUniqueName="[Hospital_Emergency_Room_Clean].[Department Referral].[All]" allUniqueName="[Hospital_Emergency_Room_Clean].[Department Referral].[All]" dimensionUniqueName="[Hospital_Emergency_Room_Clean]" displayFolder="" count="0" memberValueDatatype="130" unbalanced="0"/>
    <cacheHierarchy uniqueName="[Hospital_Emergency_Room_Clean].[Patient Admission Flag]" caption="Patient Admission Flag" attribute="1" defaultMemberUniqueName="[Hospital_Emergency_Room_Clean].[Patient Admission Flag].[All]" allUniqueName="[Hospital_Emergency_Room_Clean].[Patient Admission Flag].[All]" dimensionUniqueName="[Hospital_Emergency_Room_Clean]" displayFolder="" count="0" memberValueDatatype="130" unbalanced="0"/>
    <cacheHierarchy uniqueName="[Hospital_Emergency_Room_Clean].[Patient Satisfaction Score]" caption="Patient Satisfaction Score" attribute="1" defaultMemberUniqueName="[Hospital_Emergency_Room_Clean].[Patient Satisfaction Score].[All]" allUniqueName="[Hospital_Emergency_Room_Clean].[Patient Satisfaction Score].[All]" dimensionUniqueName="[Hospital_Emergency_Room_Clean]" displayFolder="" count="0" memberValueDatatype="20" unbalanced="0"/>
    <cacheHierarchy uniqueName="[Hospital_Emergency_Room_Clean].[Patient Waittime]" caption="Patient Waittime" attribute="1" defaultMemberUniqueName="[Hospital_Emergency_Room_Clean].[Patient Waittime].[All]" allUniqueName="[Hospital_Emergency_Room_Clean].[Patient Waittime].[All]" dimensionUniqueName="[Hospital_Emergency_Room_Clean]" displayFolder="" count="0" memberValueDatatype="20" unbalanced="0"/>
    <cacheHierarchy uniqueName="[Hospital_Emergency_Room_Clean].[Age Group]" caption="Age Group" attribute="1" defaultMemberUniqueName="[Hospital_Emergency_Room_Clean].[Age Group].[All]" allUniqueName="[Hospital_Emergency_Room_Clean].[Age Group].[All]" dimensionUniqueName="[Hospital_Emergency_Room_Clean]" displayFolder="" count="0" memberValueDatatype="130" unbalanced="0"/>
    <cacheHierarchy uniqueName="[Hospital_Emergency_Room_Clean].[Patient Wating Status]" caption="Patient Wating Status" attribute="1" defaultMemberUniqueName="[Hospital_Emergency_Room_Clean].[Patient Wating Status].[All]" allUniqueName="[Hospital_Emergency_Room_Clean].[Patient Wating Status].[All]" dimensionUniqueName="[Hospital_Emergency_Room_Clean]"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Clean]" caption="__XL_Count Hospital_Emergency_Room_Clean" measure="1" displayFolder="" measureGroup="Hospital_Emergency_Room_Clean"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Clean"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_Emergency_Room_Clean"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_Emergency_Room_Clean"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Clean"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_Emergency_Room_Clean"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Clean"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Clean" count="0" hidden="1">
      <extLst>
        <ext xmlns:x15="http://schemas.microsoft.com/office/spreadsheetml/2010/11/main" uri="{B97F6D7D-B522-45F9-BDA1-12C45D357490}">
          <x15:cacheHierarchy aggregatedColumn="16"/>
        </ext>
      </extLst>
    </cacheHierarchy>
    <cacheHierarchy uniqueName="[Measures].[Count of Patient Wating Status]" caption="Count of Patient Wating Status" measure="1" displayFolder="" measureGroup="Hospital_Emergency_Room_Clean"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Clean"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epartment Referral]" caption="Count of Department Referral" measure="1" displayFolder="" measureGroup="Hospital_Emergency_Room_Clean"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346803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CC01D-0AB6-4AD2-9AEC-93C23E0487FD}" name="PivotTable12" cacheId="1220" applyNumberFormats="0" applyBorderFormats="0" applyFontFormats="0" applyPatternFormats="0" applyAlignmentFormats="0" applyWidthHeightFormats="1" dataCaption="Values" tag="796bfa94-6f17-482c-b72a-2b144a57748b" updatedVersion="8" minRefreshableVersion="3" subtotalHiddenItems="1" itemPrintTitles="1" createdVersion="5" indent="0" outline="1" outlineData="1" multipleFieldFilters="0" chartFormat="55">
  <location ref="AX2:AX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94">
      <pivotArea outline="0" collapsedLevelsAreSubtotals="1" fieldPosition="0"/>
    </format>
  </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45FE4-6381-4D7A-8A23-9BB3DDE08794}" name="PivotTable10" cacheId="1211" applyNumberFormats="0" applyBorderFormats="0" applyFontFormats="0" applyPatternFormats="0" applyAlignmentFormats="0" applyWidthHeightFormats="1" dataCaption="Values" tag="796bfa94-6f17-482c-b72a-2b144a57748b" updatedVersion="8" minRefreshableVersion="3" subtotalHiddenItems="1" itemPrintTitles="1" createdVersion="5" indent="0" outline="1" outlineData="1" multipleFieldFilters="0" chartFormat="40">
  <location ref="AQ15:AR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Wating Status" fld="1" subtotal="count" baseField="0" baseItem="0"/>
  </dataFields>
  <formats count="3">
    <format dxfId="297">
      <pivotArea outline="0" collapsedLevelsAreSubtotals="1" fieldPosition="0"/>
    </format>
    <format dxfId="296">
      <pivotArea collapsedLevelsAreSubtotals="1" fieldPosition="0">
        <references count="1">
          <reference field="0" count="1">
            <x v="0"/>
          </reference>
        </references>
      </pivotArea>
    </format>
    <format dxfId="295">
      <pivotArea collapsedLevelsAreSubtotals="1" fieldPosition="0">
        <references count="1">
          <reference field="0" count="1">
            <x v="1"/>
          </reference>
        </references>
      </pivotArea>
    </format>
  </formats>
  <chartFormats count="12">
    <chartFormat chart="32"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5" format="2">
      <pivotArea type="data" outline="0" fieldPosition="0">
        <references count="2">
          <reference field="4294967294" count="1" selected="0">
            <x v="0"/>
          </reference>
          <reference field="0" count="1" selected="0">
            <x v="0"/>
          </reference>
        </references>
      </pivotArea>
    </chartFormat>
    <chartFormat chart="35" format="3">
      <pivotArea type="data" outline="0" fieldPosition="0">
        <references count="2">
          <reference field="4294967294" count="1" selected="0">
            <x v="0"/>
          </reference>
          <reference field="0"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0" count="1" selected="0">
            <x v="0"/>
          </reference>
        </references>
      </pivotArea>
    </chartFormat>
    <chartFormat chart="36" format="6">
      <pivotArea type="data" outline="0" fieldPosition="0">
        <references count="2">
          <reference field="4294967294" count="1" selected="0">
            <x v="0"/>
          </reference>
          <reference field="0"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0" count="1" selected="0">
            <x v="0"/>
          </reference>
        </references>
      </pivotArea>
    </chartFormat>
    <chartFormat chart="37" format="6">
      <pivotArea type="data" outline="0" fieldPosition="0">
        <references count="2">
          <reference field="4294967294" count="1" selected="0">
            <x v="0"/>
          </reference>
          <reference field="0" count="1" selected="0">
            <x v="1"/>
          </reference>
        </references>
      </pivotArea>
    </chartFormat>
    <chartFormat chart="32" format="1">
      <pivotArea type="data" outline="0" fieldPosition="0">
        <references count="2">
          <reference field="4294967294" count="1" selected="0">
            <x v="0"/>
          </reference>
          <reference field="0" count="1" selected="0">
            <x v="0"/>
          </reference>
        </references>
      </pivotArea>
    </chartFormat>
    <chartFormat chart="32" format="2">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BECE1-1C49-444C-92FD-90639A572696}" name="PivotTable6" cacheId="1208" applyNumberFormats="0" applyBorderFormats="0" applyFontFormats="0" applyPatternFormats="0" applyAlignmentFormats="0" applyWidthHeightFormats="1" dataCaption="Values" tag="ca42975b-96b1-405a-b9d8-6b65cc9c1fbd" updatedVersion="8" minRefreshableVersion="3" useAutoFormatting="1" itemPrintTitles="1" createdVersion="5" indent="0" outline="1" outlineData="1" multipleFieldFilters="0">
  <location ref="P12:Q21"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616EBB-F537-4C5F-87AA-2283C383DDB7}" name="PivotTable3" cacheId="1193" applyNumberFormats="0" applyBorderFormats="0" applyFontFormats="0" applyPatternFormats="0" applyAlignmentFormats="0" applyWidthHeightFormats="1" dataCaption="Values" tag="796bfa94-6f17-482c-b72a-2b144a57748b" updatedVersion="8" minRefreshableVersion="3" useAutoFormatting="1" subtotalHiddenItems="1" itemPrintTitles="1" createdVersion="5" indent="0" outline="1" outlineData="1" multipleFieldFilters="0">
  <location ref="C13:C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98">
      <pivotArea outline="0" collapsedLevelsAreSubtotals="1" fieldPosition="0"/>
    </format>
  </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AEECAA-0DB2-4F34-9AED-8C08D2147D47}" name="PivotTable7" cacheId="1199" applyNumberFormats="0" applyBorderFormats="0" applyFontFormats="0" applyPatternFormats="0" applyAlignmentFormats="0" applyWidthHeightFormats="1" dataCaption="Values" tag="37900b16-204c-4be6-9351-7726e69f9e2a" updatedVersion="8" minRefreshableVersion="3" useAutoFormatting="1" subtotalHiddenItems="1" itemPrintTitles="1" createdVersion="5" indent="0" outline="1" outlineData="1" multipleFieldFilters="0" chartFormat="37">
  <location ref="U12:V40"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1" subtotal="average" baseField="0" baseItem="0"/>
  </dataFields>
  <formats count="1">
    <format dxfId="299">
      <pivotArea outline="0" collapsedLevelsAreSubtotals="1" fieldPosition="0"/>
    </format>
  </formats>
  <chartFormats count="6">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B13D47-640A-4B58-AFB8-E7D84579C91C}" name="PivotTable5" cacheId="1196" applyNumberFormats="0" applyBorderFormats="0" applyFontFormats="0" applyPatternFormats="0" applyAlignmentFormats="0" applyWidthHeightFormats="1" dataCaption="Values" tag="f9e15b20-67d6-4379-8d4a-92f4f726d689" updatedVersion="8" minRefreshableVersion="3" useAutoFormatting="1" subtotalHiddenItems="1" itemPrintTitles="1" createdVersion="5" indent="0" outline="1" outlineData="1" multipleFieldFilters="0" chartFormat="26">
  <location ref="L12:M43"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0" subtotal="average" baseField="0" baseItem="0"/>
  </dataFields>
  <formats count="1">
    <format dxfId="300">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802F2B-440F-46B3-9950-E427CC333D16}" name="PivotTable8" cacheId="1202" applyNumberFormats="0" applyBorderFormats="0" applyFontFormats="0" applyPatternFormats="0" applyAlignmentFormats="0" applyWidthHeightFormats="1" dataCaption="Values" tag="796bfa94-6f17-482c-b72a-2b144a57748b" updatedVersion="8" minRefreshableVersion="3" subtotalHiddenItems="1" itemPrintTitles="1" createdVersion="5" indent="0" outline="1" outlineData="1" multipleFieldFilters="0" chartFormat="28">
  <location ref="AB16:AD19"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304">
      <pivotArea outline="0" collapsedLevelsAreSubtotals="1" fieldPosition="0"/>
    </format>
    <format dxfId="303">
      <pivotArea collapsedLevelsAreSubtotals="1" fieldPosition="0">
        <references count="1">
          <reference field="0" count="1">
            <x v="0"/>
          </reference>
        </references>
      </pivotArea>
    </format>
    <format dxfId="302">
      <pivotArea collapsedLevelsAreSubtotals="1" fieldPosition="0">
        <references count="1">
          <reference field="0" count="1">
            <x v="1"/>
          </reference>
        </references>
      </pivotArea>
    </format>
    <format dxfId="30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615AFA-44B4-4FBD-955A-392BE3D4B695}" name="PivotTable14" cacheId="1217" applyNumberFormats="0" applyBorderFormats="0" applyFontFormats="0" applyPatternFormats="0" applyAlignmentFormats="0" applyWidthHeightFormats="1" dataCaption="Values" tag="796bfa94-6f17-482c-b72a-2b144a57748b" updatedVersion="8" minRefreshableVersion="3" subtotalHiddenItems="1" itemPrintTitles="1" createdVersion="5" indent="0" outline="1" outlineData="1" multipleFieldFilters="0" chartFormat="60">
  <location ref="BB15:BC24"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Patient Id" fld="1" subtotal="count" baseField="0" baseItem="0"/>
  </dataFields>
  <formats count="1">
    <format dxfId="305">
      <pivotArea outline="0" collapsedLevelsAreSubtotals="1" fieldPosition="0"/>
    </format>
  </formats>
  <chartFormats count="2">
    <chartFormat chart="55"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B1F689-2DBC-49CD-B0D5-A4D442E69A4A}" name="PivotTable11" cacheId="1214" applyNumberFormats="0" applyBorderFormats="0" applyFontFormats="0" applyPatternFormats="0" applyAlignmentFormats="0" applyWidthHeightFormats="1" dataCaption="Values" tag="796bfa94-6f17-482c-b72a-2b144a57748b" updatedVersion="8" minRefreshableVersion="3" subtotalHiddenItems="1" itemPrintTitles="1" createdVersion="5" indent="0" outline="1" outlineData="1" multipleFieldFilters="0" chartFormat="55">
  <location ref="AV15:AW1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1">
    <format dxfId="306">
      <pivotArea outline="0" collapsedLevelsAreSubtotals="1" fieldPosition="0"/>
    </format>
  </formats>
  <chartFormats count="6">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1" count="1" selected="0">
            <x v="0"/>
          </reference>
        </references>
      </pivotArea>
    </chartFormat>
    <chartFormat chart="40" format="2">
      <pivotArea type="data" outline="0" fieldPosition="0">
        <references count="2">
          <reference field="4294967294" count="1" selected="0">
            <x v="0"/>
          </reference>
          <reference field="1" count="1" selected="0">
            <x v="1"/>
          </reference>
        </references>
      </pivotArea>
    </chartFormat>
    <chartFormat chart="54" format="6" series="1">
      <pivotArea type="data" outline="0" fieldPosition="0">
        <references count="1">
          <reference field="4294967294" count="1" selected="0">
            <x v="0"/>
          </reference>
        </references>
      </pivotArea>
    </chartFormat>
    <chartFormat chart="54" format="7">
      <pivotArea type="data" outline="0" fieldPosition="0">
        <references count="2">
          <reference field="4294967294" count="1" selected="0">
            <x v="0"/>
          </reference>
          <reference field="1" count="1" selected="0">
            <x v="0"/>
          </reference>
        </references>
      </pivotArea>
    </chartFormat>
    <chartFormat chart="54" format="8">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A6DBF9-CFDD-4CA8-912D-E83C7BE7C80B}" name="PivotTable2" cacheId="1190" applyNumberFormats="0" applyBorderFormats="0" applyFontFormats="0" applyPatternFormats="0" applyAlignmentFormats="0" applyWidthHeightFormats="1" dataCaption="Values" tag="c0ef6f87-2be1-423c-ba88-8e7d99251019" updatedVersion="8" minRefreshableVersion="3" useAutoFormatting="1" subtotalHiddenItems="1" itemPrintTitles="1" createdVersion="5"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07">
      <pivotArea outline="0" collapsedLevelsAreSubtotals="1" fieldPosition="0"/>
    </format>
  </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2FB641-012C-404A-A35F-16493A01EB7E}" name="PivotTable1" cacheId="1187" applyNumberFormats="0" applyBorderFormats="0" applyFontFormats="0" applyPatternFormats="0" applyAlignmentFormats="0" applyWidthHeightFormats="1" dataCaption="Values" tag="d3cbc4e8-fca5-486e-9e97-4170962527bc"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34BE4D-3E95-42AD-AC2D-629D95C778DA}" name="PivotTable4" cacheId="1184" applyNumberFormats="0" applyBorderFormats="0" applyFontFormats="0" applyPatternFormats="0" applyAlignmentFormats="0" applyWidthHeightFormats="1" dataCaption="Values" tag="61de8bf6-1a12-461a-ac1e-e39629659f1b" updatedVersion="8" minRefreshableVersion="3" useAutoFormatting="1" subtotalHiddenItems="1" itemPrintTitles="1" createdVersion="5" indent="0" outline="1" outlineData="1" multipleFieldFilters="0" chartFormat="15">
  <location ref="G13:H4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numFmtId="1">
      <extLst>
        <ext xmlns:x15="http://schemas.microsoft.com/office/spreadsheetml/2010/11/main" uri="{FABC7310-3BB5-11E1-824E-6D434824019B}">
          <x15:dataField isCountDistinct="1"/>
        </ext>
      </extLst>
    </dataField>
  </dataFields>
  <formats count="1">
    <format dxfId="30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4B6C69-B531-41A8-869E-4B8AF3FC1266}" name="PivotTable9" cacheId="1205" applyNumberFormats="0" applyBorderFormats="0" applyFontFormats="0" applyPatternFormats="0" applyAlignmentFormats="0" applyWidthHeightFormats="1" dataCaption="Values" tag="796bfa94-6f17-482c-b72a-2b144a57748b" updatedVersion="8" minRefreshableVersion="3" subtotalHiddenItems="1" itemPrintTitles="1" createdVersion="5" indent="0" outline="1" outlineData="1" multipleFieldFilters="0" chartFormat="32">
  <location ref="AJ16:AK2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1">
    <format dxfId="309">
      <pivotArea outline="0" collapsedLevelsAreSubtotals="1" fieldPosition="0"/>
    </format>
  </format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Clean]"/>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30E04AC-EAFA-4E6B-8A0B-5BF1C68AA9EE}" sourceName="[Calender_Table].[Date (Month)]">
  <pivotTables>
    <pivotTable tabId="1" name="PivotTable4"/>
    <pivotTable tabId="1" name="PivotTable1"/>
    <pivotTable tabId="1" name="PivotTable2"/>
    <pivotTable tabId="1" name="PivotTable3"/>
    <pivotTable tabId="1" name="PivotTable5"/>
    <pivotTable tabId="1" name="PivotTable7"/>
    <pivotTable tabId="1" name="PivotTable8"/>
    <pivotTable tabId="1" name="PivotTable9"/>
    <pivotTable tabId="1" name="PivotTable6"/>
    <pivotTable tabId="1" name="PivotTable10"/>
    <pivotTable tabId="1" name="PivotTable11"/>
    <pivotTable tabId="1" name="PivotTable14"/>
    <pivotTable tabId="1" name="PivotTable12"/>
  </pivotTables>
  <data>
    <olap pivotCacheId="103468035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4DC963C-C04F-4E53-BA24-DE5009DB073B}" sourceName="[Calender_Table].[Date (Year)]">
  <pivotTables>
    <pivotTable tabId="1" name="PivotTable12"/>
    <pivotTable tabId="1" name="PivotTable1"/>
    <pivotTable tabId="1" name="PivotTable10"/>
    <pivotTable tabId="1" name="PivotTable11"/>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468035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B45BDC4-6DE6-4A03-ACB0-6CCDF5A8D6C5}" cache="Slicer_Date__Month" caption="Date (Month)" showCaption="0" level="1" style="SlicerStyleDark2 2" rowHeight="164592"/>
  <slicer name="Date (Year) 2" xr10:uid="{8E6EBC6E-11D2-41E5-8704-9D195369C496}" cache="Slicer_Date__Year" caption="Date (Year)" columnCount="2" showCaption="0" level="1" style="SlicerStyleDark2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F990C21-CDFF-4A19-A961-958D4D164244}" cache="Slicer_Date__Month" caption="Date (Month)" startItem="1" level="1" rowHeight="257175"/>
  <slicer name="Date (Year)" xr10:uid="{F719DC6D-E0E6-4DBB-96E6-9C33CDC46DB1}" cache="Slicer_Date__Year" caption="Date (Year)" columnCount="2" showCaption="0"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A9ED-ABFC-4E4A-B020-892601503DE0}">
  <dimension ref="A1:L16"/>
  <sheetViews>
    <sheetView tabSelected="1" zoomScale="130" zoomScaleNormal="130" workbookViewId="0">
      <selection activeCell="H19" sqref="H19"/>
    </sheetView>
  </sheetViews>
  <sheetFormatPr defaultRowHeight="15" x14ac:dyDescent="0.25"/>
  <cols>
    <col min="5" max="5" width="9.140625" style="8"/>
  </cols>
  <sheetData>
    <row r="1" spans="1:12" x14ac:dyDescent="0.25">
      <c r="A1" s="2"/>
      <c r="B1" s="2"/>
      <c r="C1" s="2"/>
      <c r="D1" s="2"/>
      <c r="E1" s="7"/>
      <c r="F1" s="2"/>
      <c r="G1" s="2"/>
      <c r="H1" s="2"/>
      <c r="I1" s="2"/>
      <c r="J1" s="2"/>
      <c r="K1" s="2"/>
      <c r="L1" s="2"/>
    </row>
    <row r="2" spans="1:12" x14ac:dyDescent="0.25">
      <c r="A2" s="2"/>
      <c r="B2" s="2"/>
      <c r="C2" s="2"/>
      <c r="D2" s="2"/>
      <c r="E2" s="7"/>
      <c r="F2" s="2"/>
      <c r="G2" s="2"/>
      <c r="H2" s="2"/>
      <c r="I2" s="2"/>
      <c r="J2" s="2"/>
      <c r="K2" s="2"/>
      <c r="L2" s="2"/>
    </row>
    <row r="3" spans="1:12" x14ac:dyDescent="0.25">
      <c r="A3" s="2"/>
      <c r="B3" s="2"/>
      <c r="C3" s="2"/>
      <c r="D3" s="2"/>
      <c r="E3" s="7"/>
      <c r="F3" s="2"/>
      <c r="G3" s="2"/>
      <c r="H3" s="2"/>
      <c r="I3" s="2"/>
      <c r="J3" s="2"/>
      <c r="K3" s="2"/>
      <c r="L3" s="2"/>
    </row>
    <row r="4" spans="1:12" x14ac:dyDescent="0.25">
      <c r="A4" s="2"/>
      <c r="B4" s="2"/>
      <c r="C4" s="2"/>
      <c r="D4" s="2"/>
      <c r="E4" s="7"/>
      <c r="F4" s="2"/>
      <c r="G4" s="2"/>
      <c r="H4" s="2"/>
      <c r="I4" s="2"/>
      <c r="J4" s="2"/>
      <c r="K4" s="2"/>
      <c r="L4" s="2"/>
    </row>
    <row r="5" spans="1:12" x14ac:dyDescent="0.25">
      <c r="A5" s="2"/>
      <c r="B5" s="2"/>
      <c r="C5" s="2"/>
      <c r="D5" s="2"/>
      <c r="E5" s="7"/>
      <c r="F5" s="2"/>
      <c r="G5" s="2"/>
      <c r="H5" s="2"/>
      <c r="I5" s="2"/>
      <c r="J5" s="2"/>
      <c r="K5" s="2"/>
      <c r="L5" s="2"/>
    </row>
    <row r="6" spans="1:12" x14ac:dyDescent="0.25">
      <c r="A6" s="2"/>
      <c r="B6" s="2"/>
      <c r="C6" s="2"/>
      <c r="D6" s="2"/>
      <c r="E6" s="7"/>
      <c r="F6" s="2"/>
      <c r="G6" s="2"/>
      <c r="H6" s="2"/>
      <c r="I6" s="2"/>
      <c r="J6" s="2"/>
      <c r="K6" s="2"/>
      <c r="L6" s="2"/>
    </row>
    <row r="7" spans="1:12" x14ac:dyDescent="0.25">
      <c r="A7" s="2"/>
      <c r="B7" s="2"/>
      <c r="C7" s="2"/>
      <c r="D7" s="2"/>
      <c r="E7" s="7"/>
      <c r="F7" s="2"/>
      <c r="G7" s="2"/>
      <c r="H7" s="2"/>
      <c r="I7" s="2"/>
      <c r="J7" s="2"/>
      <c r="K7" s="2"/>
      <c r="L7" s="2"/>
    </row>
    <row r="8" spans="1:12" x14ac:dyDescent="0.25">
      <c r="A8" s="2"/>
      <c r="B8" s="2"/>
      <c r="C8" s="2"/>
      <c r="D8" s="2"/>
      <c r="E8" s="7"/>
      <c r="F8" s="2"/>
      <c r="G8" s="2"/>
      <c r="H8" s="2"/>
      <c r="I8" s="2"/>
      <c r="J8" s="2"/>
      <c r="K8" s="2"/>
      <c r="L8" s="2"/>
    </row>
    <row r="9" spans="1:12" x14ac:dyDescent="0.25">
      <c r="A9" s="2"/>
      <c r="B9" s="2"/>
      <c r="C9" s="2"/>
      <c r="D9" s="2"/>
      <c r="E9" s="7"/>
      <c r="F9" s="2"/>
      <c r="G9" s="2"/>
      <c r="H9" s="2"/>
      <c r="I9" s="2"/>
      <c r="J9" s="2"/>
      <c r="K9" s="2"/>
      <c r="L9" s="2"/>
    </row>
    <row r="10" spans="1:12" x14ac:dyDescent="0.25">
      <c r="A10" s="2"/>
      <c r="B10" s="2"/>
      <c r="C10" s="2"/>
      <c r="D10" s="2"/>
      <c r="E10" s="7"/>
      <c r="F10" s="2"/>
      <c r="G10" s="2"/>
      <c r="H10" s="2"/>
      <c r="J10" s="2"/>
      <c r="K10" s="2"/>
      <c r="L10" s="2"/>
    </row>
    <row r="11" spans="1:12" x14ac:dyDescent="0.25">
      <c r="A11" s="2"/>
      <c r="B11" s="2"/>
      <c r="C11" s="2"/>
      <c r="D11" s="2"/>
      <c r="E11" s="7"/>
      <c r="F11" s="2"/>
      <c r="G11" s="2"/>
      <c r="H11" s="2"/>
      <c r="I11" s="2"/>
      <c r="J11" s="2"/>
      <c r="K11" s="2"/>
      <c r="L11" s="2"/>
    </row>
    <row r="12" spans="1:12" x14ac:dyDescent="0.25">
      <c r="A12" s="2"/>
      <c r="B12" s="2"/>
      <c r="C12" s="2"/>
      <c r="D12" s="2"/>
      <c r="E12" s="7"/>
      <c r="F12" s="2"/>
      <c r="G12" s="2"/>
      <c r="H12" s="2"/>
      <c r="I12" s="2"/>
      <c r="J12" s="2"/>
      <c r="K12" s="2"/>
      <c r="L12" s="2"/>
    </row>
    <row r="13" spans="1:12" x14ac:dyDescent="0.25">
      <c r="A13" s="2"/>
      <c r="B13" s="2"/>
      <c r="C13" s="2"/>
      <c r="D13" s="2"/>
      <c r="E13" s="7"/>
      <c r="F13" s="2"/>
      <c r="G13" s="2"/>
      <c r="H13" s="2"/>
      <c r="I13" s="2"/>
      <c r="J13" s="2"/>
      <c r="K13" s="2"/>
      <c r="L13" s="2"/>
    </row>
    <row r="14" spans="1:12" x14ac:dyDescent="0.25">
      <c r="A14" s="2"/>
      <c r="B14" s="2"/>
      <c r="C14" s="2"/>
      <c r="D14" s="2"/>
      <c r="E14" s="7"/>
      <c r="F14" s="2"/>
      <c r="G14" s="2"/>
      <c r="H14" s="2"/>
      <c r="I14" s="2"/>
      <c r="J14" s="2"/>
      <c r="K14" s="2"/>
      <c r="L14" s="2"/>
    </row>
    <row r="15" spans="1:12" x14ac:dyDescent="0.25">
      <c r="A15" s="2"/>
      <c r="B15" s="2"/>
      <c r="C15" s="2"/>
      <c r="D15" s="2"/>
      <c r="E15" s="7"/>
      <c r="F15" s="2"/>
      <c r="G15" s="2"/>
      <c r="H15" s="2"/>
      <c r="I15" s="2"/>
      <c r="J15" s="2"/>
      <c r="K15" s="2"/>
      <c r="L15" s="2"/>
    </row>
    <row r="16" spans="1:12" x14ac:dyDescent="0.25">
      <c r="A16" s="2"/>
      <c r="B16" s="2"/>
      <c r="C16" s="2"/>
      <c r="D16" s="2"/>
      <c r="E16" s="7"/>
      <c r="F16" s="2"/>
      <c r="G16" s="2"/>
      <c r="H16" s="2"/>
      <c r="I16" s="2"/>
      <c r="J16" s="2"/>
      <c r="K16" s="2"/>
      <c r="L16"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F9FE-3CE1-4BF5-B371-A848409817B2}">
  <dimension ref="A1:M25"/>
  <sheetViews>
    <sheetView zoomScale="140" zoomScaleNormal="140" workbookViewId="0"/>
  </sheetViews>
  <sheetFormatPr defaultRowHeight="15" x14ac:dyDescent="0.25"/>
  <sheetData>
    <row r="1" spans="1:13" x14ac:dyDescent="0.25">
      <c r="A1" s="9"/>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row r="5" spans="1:13" x14ac:dyDescent="0.25">
      <c r="A5" s="9"/>
      <c r="B5" s="9"/>
      <c r="C5" s="9"/>
      <c r="D5" s="9"/>
      <c r="E5" s="9"/>
      <c r="F5" s="9"/>
      <c r="G5" s="9"/>
      <c r="H5" s="9"/>
      <c r="I5" s="9"/>
      <c r="J5" s="9"/>
      <c r="K5" s="9"/>
      <c r="L5" s="9"/>
      <c r="M5" s="9"/>
    </row>
    <row r="6" spans="1:13" x14ac:dyDescent="0.25">
      <c r="A6" s="9"/>
      <c r="B6" s="9"/>
      <c r="C6" s="9"/>
      <c r="D6" s="9"/>
      <c r="E6" s="9"/>
      <c r="F6" s="9"/>
      <c r="G6" s="9"/>
      <c r="H6" s="9"/>
      <c r="I6" s="9"/>
      <c r="J6" s="9"/>
      <c r="K6" s="9"/>
      <c r="L6" s="9"/>
      <c r="M6" s="9"/>
    </row>
    <row r="7" spans="1:13" x14ac:dyDescent="0.25">
      <c r="A7" s="9"/>
      <c r="B7" s="9"/>
      <c r="C7" s="9"/>
      <c r="D7" s="9"/>
      <c r="E7" s="9"/>
      <c r="F7" s="9"/>
      <c r="G7" s="9"/>
      <c r="H7" s="9"/>
      <c r="I7" s="9"/>
      <c r="J7" s="9"/>
      <c r="K7" s="9"/>
      <c r="L7" s="9"/>
      <c r="M7" s="9"/>
    </row>
    <row r="8" spans="1:13" x14ac:dyDescent="0.25">
      <c r="A8" s="9"/>
      <c r="B8" s="9"/>
      <c r="C8" s="9"/>
      <c r="D8" s="9"/>
      <c r="E8" s="9"/>
      <c r="F8" s="9"/>
      <c r="G8" s="9"/>
      <c r="H8" s="9"/>
      <c r="I8" s="9"/>
      <c r="J8" s="9"/>
      <c r="K8" s="9"/>
      <c r="L8" s="9"/>
      <c r="M8" s="9"/>
    </row>
    <row r="9" spans="1:13" x14ac:dyDescent="0.25">
      <c r="A9" s="9"/>
      <c r="B9" s="9"/>
      <c r="C9" s="9"/>
      <c r="D9" s="9"/>
      <c r="E9" s="9"/>
      <c r="F9" s="9"/>
      <c r="G9" s="9"/>
      <c r="H9" s="9"/>
      <c r="I9" s="9"/>
      <c r="J9" s="9"/>
      <c r="K9" s="9"/>
      <c r="L9" s="9"/>
      <c r="M9" s="9"/>
    </row>
    <row r="10" spans="1:13" x14ac:dyDescent="0.25">
      <c r="A10" s="9"/>
      <c r="B10" s="9"/>
      <c r="C10" s="9"/>
      <c r="D10" s="9"/>
      <c r="E10" s="9"/>
      <c r="F10" s="9"/>
      <c r="G10" s="9"/>
      <c r="H10" s="9"/>
      <c r="I10" s="9"/>
      <c r="J10" s="9"/>
      <c r="K10" s="9"/>
      <c r="L10" s="9"/>
      <c r="M10" s="9"/>
    </row>
    <row r="11" spans="1:13" x14ac:dyDescent="0.25">
      <c r="A11" s="9"/>
      <c r="B11" s="9"/>
      <c r="C11" s="9"/>
      <c r="D11" s="9"/>
      <c r="E11" s="9"/>
      <c r="F11" s="9"/>
      <c r="G11" s="9"/>
      <c r="H11" s="9"/>
      <c r="I11" s="9"/>
      <c r="J11" s="9"/>
      <c r="K11" s="9"/>
      <c r="L11" s="9"/>
      <c r="M11" s="9"/>
    </row>
    <row r="12" spans="1:13" x14ac:dyDescent="0.25">
      <c r="A12" s="9"/>
      <c r="B12" s="9"/>
      <c r="C12" s="9"/>
      <c r="D12" s="9"/>
      <c r="E12" s="9"/>
      <c r="F12" s="9"/>
      <c r="G12" s="9"/>
      <c r="H12" s="9"/>
      <c r="I12" s="9"/>
      <c r="J12" s="9"/>
      <c r="K12" s="9"/>
      <c r="L12" s="9"/>
      <c r="M12" s="9"/>
    </row>
    <row r="13" spans="1:13" x14ac:dyDescent="0.25">
      <c r="A13" s="9"/>
      <c r="B13" s="9"/>
      <c r="C13" s="9"/>
      <c r="D13" s="9"/>
      <c r="E13" s="9"/>
      <c r="F13" s="9"/>
      <c r="G13" s="9"/>
      <c r="H13" s="9"/>
      <c r="I13" s="9"/>
      <c r="J13" s="9"/>
      <c r="K13" s="9"/>
      <c r="L13" s="9"/>
      <c r="M13" s="9"/>
    </row>
    <row r="14" spans="1:13" x14ac:dyDescent="0.25">
      <c r="A14" s="9"/>
      <c r="B14" s="9"/>
      <c r="C14" s="9"/>
      <c r="D14" s="9"/>
      <c r="E14" s="9"/>
      <c r="F14" s="9"/>
      <c r="G14" s="9"/>
      <c r="H14" s="9"/>
      <c r="I14" s="9"/>
      <c r="J14" s="9"/>
      <c r="K14" s="9"/>
      <c r="L14" s="9"/>
      <c r="M14" s="9"/>
    </row>
    <row r="15" spans="1:13" x14ac:dyDescent="0.25">
      <c r="A15" s="9"/>
      <c r="B15" s="9"/>
      <c r="C15" s="9"/>
      <c r="D15" s="9"/>
      <c r="E15" s="9"/>
      <c r="F15" s="9"/>
      <c r="G15" s="9"/>
      <c r="H15" s="9"/>
      <c r="I15" s="9"/>
      <c r="J15" s="9"/>
      <c r="K15" s="9"/>
      <c r="L15" s="9"/>
      <c r="M15" s="9"/>
    </row>
    <row r="16" spans="1:13" x14ac:dyDescent="0.25">
      <c r="A16" s="9"/>
      <c r="B16" s="9"/>
      <c r="C16" s="9"/>
      <c r="D16" s="9"/>
      <c r="E16" s="9"/>
      <c r="F16" s="9"/>
      <c r="G16" s="9"/>
      <c r="H16" s="9"/>
      <c r="I16" s="9"/>
      <c r="J16" s="9"/>
      <c r="K16" s="9"/>
      <c r="L16" s="9"/>
      <c r="M16" s="9"/>
    </row>
    <row r="17" spans="1:13" x14ac:dyDescent="0.25">
      <c r="A17" s="9"/>
      <c r="B17" s="9"/>
      <c r="C17" s="9"/>
      <c r="D17" s="9"/>
      <c r="E17" s="9"/>
      <c r="F17" s="9"/>
      <c r="G17" s="9"/>
      <c r="H17" s="9"/>
      <c r="I17" s="9"/>
      <c r="J17" s="9"/>
      <c r="K17" s="9"/>
      <c r="L17" s="9"/>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x14ac:dyDescent="0.25">
      <c r="A22" s="9"/>
      <c r="B22" s="9"/>
      <c r="C22" s="9"/>
      <c r="D22" s="9"/>
      <c r="E22" s="9"/>
      <c r="F22" s="9"/>
      <c r="G22" s="9"/>
      <c r="H22" s="9"/>
      <c r="I22" s="9"/>
      <c r="J22" s="9"/>
      <c r="K22" s="9"/>
      <c r="L22" s="9"/>
      <c r="M22" s="9"/>
    </row>
    <row r="23" spans="1:13" x14ac:dyDescent="0.25">
      <c r="A23" s="9"/>
      <c r="B23" s="9"/>
      <c r="C23" s="9"/>
      <c r="D23" s="9"/>
      <c r="E23" s="9"/>
      <c r="F23" s="9"/>
      <c r="G23" s="9"/>
      <c r="H23" s="9"/>
      <c r="I23" s="9"/>
      <c r="J23" s="9"/>
      <c r="K23" s="9"/>
      <c r="L23" s="9"/>
      <c r="M23" s="9"/>
    </row>
    <row r="24" spans="1:13" x14ac:dyDescent="0.25">
      <c r="A24" s="9"/>
      <c r="B24" s="9"/>
      <c r="C24" s="9"/>
      <c r="D24" s="9"/>
      <c r="E24" s="9"/>
      <c r="F24" s="9"/>
      <c r="G24" s="9"/>
      <c r="H24" s="9"/>
      <c r="I24" s="9"/>
      <c r="J24" s="9"/>
      <c r="K24" s="9"/>
      <c r="L24" s="9"/>
      <c r="M24" s="9"/>
    </row>
    <row r="25" spans="1:13" x14ac:dyDescent="0.25">
      <c r="A25" s="9"/>
      <c r="B25" s="9"/>
      <c r="C25" s="9"/>
      <c r="D25" s="9"/>
      <c r="E25" s="9"/>
      <c r="F25" s="9"/>
      <c r="G25" s="9"/>
      <c r="H25" s="9"/>
      <c r="I25" s="9"/>
      <c r="J25" s="9"/>
      <c r="K25" s="9"/>
      <c r="L25" s="9"/>
      <c r="M25"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0C04-1F51-4B6E-959B-DB667A7AC15B}">
  <dimension ref="A2:BC44"/>
  <sheetViews>
    <sheetView topLeftCell="AP1" zoomScaleNormal="100" workbookViewId="0">
      <selection activeCell="BC18" sqref="BC18"/>
    </sheetView>
  </sheetViews>
  <sheetFormatPr defaultRowHeight="15" x14ac:dyDescent="0.25"/>
  <cols>
    <col min="1" max="1" width="18.140625" bestFit="1" customWidth="1"/>
    <col min="3" max="3" width="34.85546875" bestFit="1" customWidth="1"/>
    <col min="4" max="4" width="26.5703125" bestFit="1" customWidth="1"/>
    <col min="5" max="5" width="23.28515625" bestFit="1" customWidth="1"/>
    <col min="6" max="6" width="34.85546875" bestFit="1" customWidth="1"/>
    <col min="7" max="7" width="13.42578125" bestFit="1" customWidth="1"/>
    <col min="8" max="8" width="26" bestFit="1" customWidth="1"/>
    <col min="10" max="10" width="13.42578125" bestFit="1" customWidth="1"/>
    <col min="11" max="11" width="26" bestFit="1" customWidth="1"/>
    <col min="12" max="12" width="13.42578125" bestFit="1" customWidth="1"/>
    <col min="13" max="13" width="26.5703125" bestFit="1" customWidth="1"/>
    <col min="16" max="16" width="13.42578125" bestFit="1" customWidth="1"/>
    <col min="17" max="17" width="18.85546875" bestFit="1" customWidth="1"/>
    <col min="21" max="21" width="13.42578125" bestFit="1" customWidth="1"/>
    <col min="22" max="22" width="34.85546875" bestFit="1" customWidth="1"/>
    <col min="28" max="28" width="17" customWidth="1"/>
    <col min="29" max="29" width="18.5703125" customWidth="1"/>
    <col min="30" max="30" width="22.7109375" customWidth="1"/>
  </cols>
  <sheetData>
    <row r="2" spans="1:55" x14ac:dyDescent="0.25">
      <c r="AX2" s="4" t="s">
        <v>3</v>
      </c>
    </row>
    <row r="3" spans="1:55" x14ac:dyDescent="0.25">
      <c r="A3" t="s">
        <v>0</v>
      </c>
      <c r="D3" t="s">
        <v>2</v>
      </c>
      <c r="AX3" s="5" t="s">
        <v>36</v>
      </c>
    </row>
    <row r="4" spans="1:55" x14ac:dyDescent="0.25">
      <c r="A4" s="1">
        <v>469</v>
      </c>
      <c r="B4">
        <f>GETPIVOTDATA("[Measures].[Count of Patient Id]",$A$3)</f>
        <v>469</v>
      </c>
      <c r="D4" s="3">
        <v>35.044776119402982</v>
      </c>
      <c r="E4" s="3">
        <f>GETPIVOTDATA("[Measures].[Average of Patient Waittime]",$D$3)</f>
        <v>35.044776119402982</v>
      </c>
      <c r="G4" s="3">
        <f>GETPIVOTDATA("[Measures].[Average of Patient Satisfaction Score]",$C$13)</f>
        <v>4.6269841269841274</v>
      </c>
      <c r="I4" s="3"/>
      <c r="AX4" s="5" t="s">
        <v>4</v>
      </c>
    </row>
    <row r="12" spans="1:55" x14ac:dyDescent="0.25">
      <c r="L12" s="4" t="s">
        <v>3</v>
      </c>
      <c r="M12" t="s">
        <v>2</v>
      </c>
      <c r="P12" s="4" t="s">
        <v>3</v>
      </c>
      <c r="Q12" t="s">
        <v>21</v>
      </c>
      <c r="U12" s="4" t="s">
        <v>3</v>
      </c>
      <c r="V12" t="s">
        <v>1</v>
      </c>
    </row>
    <row r="13" spans="1:55" x14ac:dyDescent="0.25">
      <c r="C13" t="s">
        <v>1</v>
      </c>
      <c r="G13" s="4" t="s">
        <v>3</v>
      </c>
      <c r="H13" t="s">
        <v>5</v>
      </c>
      <c r="L13" s="5" t="s">
        <v>37</v>
      </c>
      <c r="M13" s="6">
        <v>31.833333333333332</v>
      </c>
      <c r="P13" s="5" t="s">
        <v>13</v>
      </c>
      <c r="Q13" s="1">
        <v>59</v>
      </c>
      <c r="U13" s="5" t="s">
        <v>38</v>
      </c>
      <c r="V13" s="6">
        <v>4.5999999999999996</v>
      </c>
    </row>
    <row r="14" spans="1:55" x14ac:dyDescent="0.25">
      <c r="C14" s="3">
        <v>4.6269841269841274</v>
      </c>
      <c r="G14" s="5" t="s">
        <v>37</v>
      </c>
      <c r="H14" s="6">
        <v>12</v>
      </c>
      <c r="L14" s="5" t="s">
        <v>38</v>
      </c>
      <c r="M14" s="6">
        <v>39.368421052631582</v>
      </c>
      <c r="P14" s="5" t="s">
        <v>14</v>
      </c>
      <c r="Q14" s="1">
        <v>57</v>
      </c>
      <c r="U14" s="5" t="s">
        <v>39</v>
      </c>
      <c r="V14" s="6">
        <v>4.5999999999999996</v>
      </c>
    </row>
    <row r="15" spans="1:55" x14ac:dyDescent="0.25">
      <c r="G15" s="5" t="s">
        <v>38</v>
      </c>
      <c r="H15" s="6">
        <v>19</v>
      </c>
      <c r="L15" s="5" t="s">
        <v>39</v>
      </c>
      <c r="M15" s="6">
        <v>32.352941176470587</v>
      </c>
      <c r="P15" s="5" t="s">
        <v>15</v>
      </c>
      <c r="Q15" s="1">
        <v>69</v>
      </c>
      <c r="U15" s="5" t="s">
        <v>40</v>
      </c>
      <c r="V15" s="6">
        <v>5.666666666666667</v>
      </c>
      <c r="AQ15" s="4" t="s">
        <v>3</v>
      </c>
      <c r="AR15" t="s">
        <v>24</v>
      </c>
      <c r="AV15" s="4" t="s">
        <v>3</v>
      </c>
      <c r="AW15" t="s">
        <v>25</v>
      </c>
      <c r="BB15" s="4" t="s">
        <v>3</v>
      </c>
      <c r="BC15" t="s">
        <v>0</v>
      </c>
    </row>
    <row r="16" spans="1:55" x14ac:dyDescent="0.25">
      <c r="G16" s="5" t="s">
        <v>39</v>
      </c>
      <c r="H16" s="6">
        <v>17</v>
      </c>
      <c r="L16" s="5" t="s">
        <v>40</v>
      </c>
      <c r="M16" s="6">
        <v>34.049999999999997</v>
      </c>
      <c r="P16" s="5" t="s">
        <v>16</v>
      </c>
      <c r="Q16" s="1">
        <v>62</v>
      </c>
      <c r="U16" s="5" t="s">
        <v>41</v>
      </c>
      <c r="V16" s="6">
        <v>3.4</v>
      </c>
      <c r="AB16" s="4" t="s">
        <v>3</v>
      </c>
      <c r="AC16" t="s">
        <v>6</v>
      </c>
      <c r="AD16" t="s">
        <v>9</v>
      </c>
      <c r="AJ16" s="4" t="s">
        <v>3</v>
      </c>
      <c r="AK16" t="s">
        <v>21</v>
      </c>
      <c r="AQ16" s="5" t="s">
        <v>22</v>
      </c>
      <c r="AR16" s="6">
        <v>268</v>
      </c>
      <c r="AV16" s="5" t="s">
        <v>26</v>
      </c>
      <c r="AW16" s="3">
        <v>241</v>
      </c>
      <c r="BB16" s="5" t="s">
        <v>35</v>
      </c>
      <c r="BC16" s="3">
        <v>3</v>
      </c>
    </row>
    <row r="17" spans="7:55" x14ac:dyDescent="0.25">
      <c r="G17" s="5" t="s">
        <v>40</v>
      </c>
      <c r="H17" s="6">
        <v>20</v>
      </c>
      <c r="L17" s="5" t="s">
        <v>41</v>
      </c>
      <c r="M17" s="6">
        <v>31.8</v>
      </c>
      <c r="P17" s="5" t="s">
        <v>17</v>
      </c>
      <c r="Q17" s="1">
        <v>54</v>
      </c>
      <c r="U17" s="5" t="s">
        <v>42</v>
      </c>
      <c r="V17" s="6">
        <v>4.333333333333333</v>
      </c>
      <c r="AB17" s="5" t="s">
        <v>7</v>
      </c>
      <c r="AC17" s="6">
        <v>217</v>
      </c>
      <c r="AD17" s="11">
        <v>0.46268656716417911</v>
      </c>
      <c r="AJ17" s="5" t="s">
        <v>13</v>
      </c>
      <c r="AK17" s="3">
        <v>59</v>
      </c>
      <c r="AQ17" s="5" t="s">
        <v>23</v>
      </c>
      <c r="AR17" s="6">
        <v>201</v>
      </c>
      <c r="AV17" s="5" t="s">
        <v>27</v>
      </c>
      <c r="AW17" s="3">
        <v>228</v>
      </c>
      <c r="BB17" s="5" t="s">
        <v>29</v>
      </c>
      <c r="BC17" s="3">
        <v>8</v>
      </c>
    </row>
    <row r="18" spans="7:55" x14ac:dyDescent="0.25">
      <c r="G18" s="5" t="s">
        <v>41</v>
      </c>
      <c r="H18" s="6">
        <v>15</v>
      </c>
      <c r="L18" s="5" t="s">
        <v>42</v>
      </c>
      <c r="M18" s="6">
        <v>37.823529411764703</v>
      </c>
      <c r="P18" s="5" t="s">
        <v>18</v>
      </c>
      <c r="Q18" s="1">
        <v>57</v>
      </c>
      <c r="U18" s="5" t="s">
        <v>43</v>
      </c>
      <c r="V18" s="6">
        <v>4.4000000000000004</v>
      </c>
      <c r="AB18" s="5" t="s">
        <v>8</v>
      </c>
      <c r="AC18" s="6">
        <v>252</v>
      </c>
      <c r="AD18" s="11">
        <v>0.53731343283582089</v>
      </c>
      <c r="AJ18" s="5" t="s">
        <v>14</v>
      </c>
      <c r="AK18" s="3">
        <v>57</v>
      </c>
      <c r="AQ18" s="5" t="s">
        <v>4</v>
      </c>
      <c r="AR18" s="3">
        <v>469</v>
      </c>
      <c r="AV18" s="5" t="s">
        <v>4</v>
      </c>
      <c r="AW18" s="3">
        <v>469</v>
      </c>
      <c r="BB18" s="5" t="s">
        <v>31</v>
      </c>
      <c r="BC18" s="3">
        <v>10</v>
      </c>
    </row>
    <row r="19" spans="7:55" x14ac:dyDescent="0.25">
      <c r="G19" s="5" t="s">
        <v>42</v>
      </c>
      <c r="H19" s="6">
        <v>17</v>
      </c>
      <c r="L19" s="5" t="s">
        <v>43</v>
      </c>
      <c r="M19" s="6">
        <v>31.875</v>
      </c>
      <c r="P19" s="5" t="s">
        <v>19</v>
      </c>
      <c r="Q19" s="1">
        <v>54</v>
      </c>
      <c r="U19" s="5" t="s">
        <v>44</v>
      </c>
      <c r="V19" s="6">
        <v>4.25</v>
      </c>
      <c r="AB19" s="5" t="s">
        <v>4</v>
      </c>
      <c r="AC19" s="3">
        <v>469</v>
      </c>
      <c r="AD19" s="11">
        <v>1</v>
      </c>
      <c r="AJ19" s="5" t="s">
        <v>15</v>
      </c>
      <c r="AK19" s="3">
        <v>69</v>
      </c>
      <c r="BB19" s="5" t="s">
        <v>28</v>
      </c>
      <c r="BC19" s="3">
        <v>13</v>
      </c>
    </row>
    <row r="20" spans="7:55" x14ac:dyDescent="0.25">
      <c r="G20" s="5" t="s">
        <v>43</v>
      </c>
      <c r="H20" s="6">
        <v>16</v>
      </c>
      <c r="L20" s="5" t="s">
        <v>44</v>
      </c>
      <c r="M20" s="6">
        <v>27.3</v>
      </c>
      <c r="P20" s="5" t="s">
        <v>20</v>
      </c>
      <c r="Q20" s="1">
        <v>57</v>
      </c>
      <c r="U20" s="5" t="s">
        <v>45</v>
      </c>
      <c r="V20" s="6">
        <v>4.5999999999999996</v>
      </c>
      <c r="AJ20" s="5" t="s">
        <v>16</v>
      </c>
      <c r="AK20" s="3">
        <v>62</v>
      </c>
      <c r="BB20" s="5" t="s">
        <v>34</v>
      </c>
      <c r="BC20" s="3">
        <v>15</v>
      </c>
    </row>
    <row r="21" spans="7:55" x14ac:dyDescent="0.25">
      <c r="G21" s="5" t="s">
        <v>44</v>
      </c>
      <c r="H21" s="6">
        <v>10</v>
      </c>
      <c r="L21" s="5" t="s">
        <v>45</v>
      </c>
      <c r="M21" s="6">
        <v>31.933333333333334</v>
      </c>
      <c r="P21" s="5" t="s">
        <v>4</v>
      </c>
      <c r="Q21" s="1">
        <v>469</v>
      </c>
      <c r="U21" s="5" t="s">
        <v>47</v>
      </c>
      <c r="V21" s="6">
        <v>2.3333333333333335</v>
      </c>
      <c r="AJ21" s="5" t="s">
        <v>17</v>
      </c>
      <c r="AK21" s="3">
        <v>54</v>
      </c>
      <c r="BB21" s="5" t="s">
        <v>33</v>
      </c>
      <c r="BC21" s="3">
        <v>44</v>
      </c>
    </row>
    <row r="22" spans="7:55" x14ac:dyDescent="0.25">
      <c r="G22" s="5" t="s">
        <v>45</v>
      </c>
      <c r="H22" s="6">
        <v>15</v>
      </c>
      <c r="L22" s="5" t="s">
        <v>46</v>
      </c>
      <c r="M22" s="6">
        <v>30.5</v>
      </c>
      <c r="U22" s="5" t="s">
        <v>48</v>
      </c>
      <c r="V22" s="6">
        <v>9</v>
      </c>
      <c r="AB22" s="13" t="s">
        <v>10</v>
      </c>
      <c r="AC22" s="14" t="s">
        <v>12</v>
      </c>
      <c r="AD22" s="14" t="s">
        <v>11</v>
      </c>
      <c r="AE22" s="15"/>
      <c r="AJ22" s="5" t="s">
        <v>18</v>
      </c>
      <c r="AK22" s="3">
        <v>57</v>
      </c>
      <c r="BB22" s="5" t="s">
        <v>30</v>
      </c>
      <c r="BC22" s="3">
        <v>92</v>
      </c>
    </row>
    <row r="23" spans="7:55" x14ac:dyDescent="0.25">
      <c r="G23" s="5" t="s">
        <v>46</v>
      </c>
      <c r="H23" s="6">
        <v>14</v>
      </c>
      <c r="L23" s="5" t="s">
        <v>47</v>
      </c>
      <c r="M23" s="6">
        <v>38.0625</v>
      </c>
      <c r="U23" s="5" t="s">
        <v>49</v>
      </c>
      <c r="V23" s="6">
        <v>2.75</v>
      </c>
      <c r="AB23" s="5" t="str">
        <f>AB18</f>
        <v>Not Admitted</v>
      </c>
      <c r="AC23" s="5">
        <f t="shared" ref="AC23:AD23" si="0">AC18</f>
        <v>252</v>
      </c>
      <c r="AD23" s="12">
        <f t="shared" si="0"/>
        <v>0.53731343283582089</v>
      </c>
      <c r="AJ23" s="5" t="s">
        <v>19</v>
      </c>
      <c r="AK23" s="3">
        <v>54</v>
      </c>
      <c r="BB23" s="5" t="s">
        <v>32</v>
      </c>
      <c r="BC23" s="3">
        <v>284</v>
      </c>
    </row>
    <row r="24" spans="7:55" x14ac:dyDescent="0.25">
      <c r="G24" s="5" t="s">
        <v>47</v>
      </c>
      <c r="H24" s="6">
        <v>16</v>
      </c>
      <c r="L24" s="5" t="s">
        <v>48</v>
      </c>
      <c r="M24" s="6">
        <v>36.333333333333336</v>
      </c>
      <c r="U24" s="5" t="s">
        <v>50</v>
      </c>
      <c r="V24" s="6">
        <v>6.8888888888888893</v>
      </c>
      <c r="AB24" s="5" t="str">
        <f>AB17</f>
        <v>Admitted</v>
      </c>
      <c r="AC24" s="5">
        <f t="shared" ref="AC24:AD24" si="1">AC17</f>
        <v>217</v>
      </c>
      <c r="AD24" s="12">
        <f t="shared" si="1"/>
        <v>0.46268656716417911</v>
      </c>
      <c r="AJ24" s="5" t="s">
        <v>20</v>
      </c>
      <c r="AK24" s="3">
        <v>57</v>
      </c>
      <c r="BB24" s="5" t="s">
        <v>4</v>
      </c>
      <c r="BC24" s="3">
        <v>469</v>
      </c>
    </row>
    <row r="25" spans="7:55" x14ac:dyDescent="0.25">
      <c r="G25" s="5" t="s">
        <v>48</v>
      </c>
      <c r="H25" s="6">
        <v>12</v>
      </c>
      <c r="L25" s="5" t="s">
        <v>49</v>
      </c>
      <c r="M25" s="6">
        <v>27</v>
      </c>
      <c r="U25" s="5" t="s">
        <v>51</v>
      </c>
      <c r="V25" s="6">
        <v>5</v>
      </c>
      <c r="AJ25" s="5" t="s">
        <v>4</v>
      </c>
      <c r="AK25" s="3">
        <v>469</v>
      </c>
    </row>
    <row r="26" spans="7:55" x14ac:dyDescent="0.25">
      <c r="G26" s="5" t="s">
        <v>49</v>
      </c>
      <c r="H26" s="6">
        <v>12</v>
      </c>
      <c r="L26" s="5" t="s">
        <v>50</v>
      </c>
      <c r="M26" s="6">
        <v>37.46153846153846</v>
      </c>
      <c r="U26" s="5" t="s">
        <v>52</v>
      </c>
      <c r="V26" s="6">
        <v>4.166666666666667</v>
      </c>
    </row>
    <row r="27" spans="7:55" x14ac:dyDescent="0.25">
      <c r="G27" s="5" t="s">
        <v>50</v>
      </c>
      <c r="H27" s="6">
        <v>13</v>
      </c>
      <c r="L27" s="5" t="s">
        <v>51</v>
      </c>
      <c r="M27" s="6">
        <v>39.25</v>
      </c>
      <c r="U27" s="5" t="s">
        <v>53</v>
      </c>
      <c r="V27" s="6">
        <v>2.5</v>
      </c>
    </row>
    <row r="28" spans="7:55" x14ac:dyDescent="0.25">
      <c r="G28" s="5" t="s">
        <v>51</v>
      </c>
      <c r="H28" s="6">
        <v>20</v>
      </c>
      <c r="L28" s="5" t="s">
        <v>52</v>
      </c>
      <c r="M28" s="6">
        <v>33.647058823529413</v>
      </c>
      <c r="U28" s="5" t="s">
        <v>54</v>
      </c>
      <c r="V28" s="6">
        <v>6</v>
      </c>
    </row>
    <row r="29" spans="7:55" x14ac:dyDescent="0.25">
      <c r="G29" s="5" t="s">
        <v>52</v>
      </c>
      <c r="H29" s="6">
        <v>17</v>
      </c>
      <c r="L29" s="5" t="s">
        <v>53</v>
      </c>
      <c r="M29" s="6">
        <v>42.2</v>
      </c>
      <c r="U29" s="5" t="s">
        <v>55</v>
      </c>
      <c r="V29" s="6">
        <v>3.8</v>
      </c>
    </row>
    <row r="30" spans="7:55" x14ac:dyDescent="0.25">
      <c r="G30" s="5" t="s">
        <v>53</v>
      </c>
      <c r="H30" s="6">
        <v>10</v>
      </c>
      <c r="L30" s="5" t="s">
        <v>54</v>
      </c>
      <c r="M30" s="6">
        <v>33.3125</v>
      </c>
      <c r="U30" s="5" t="s">
        <v>56</v>
      </c>
      <c r="V30" s="6">
        <v>3.6</v>
      </c>
    </row>
    <row r="31" spans="7:55" x14ac:dyDescent="0.25">
      <c r="G31" s="5" t="s">
        <v>54</v>
      </c>
      <c r="H31" s="6">
        <v>16</v>
      </c>
      <c r="L31" s="5" t="s">
        <v>55</v>
      </c>
      <c r="M31" s="6">
        <v>25.76923076923077</v>
      </c>
      <c r="U31" s="5" t="s">
        <v>58</v>
      </c>
      <c r="V31" s="6">
        <v>5.8571428571428568</v>
      </c>
    </row>
    <row r="32" spans="7:55" x14ac:dyDescent="0.25">
      <c r="G32" s="5" t="s">
        <v>55</v>
      </c>
      <c r="H32" s="6">
        <v>13</v>
      </c>
      <c r="L32" s="5" t="s">
        <v>56</v>
      </c>
      <c r="M32" s="6">
        <v>37.125</v>
      </c>
      <c r="U32" s="5" t="s">
        <v>59</v>
      </c>
      <c r="V32" s="6">
        <v>6.25</v>
      </c>
    </row>
    <row r="33" spans="7:22" x14ac:dyDescent="0.25">
      <c r="G33" s="5" t="s">
        <v>56</v>
      </c>
      <c r="H33" s="6">
        <v>16</v>
      </c>
      <c r="L33" s="5" t="s">
        <v>57</v>
      </c>
      <c r="M33" s="6">
        <v>37</v>
      </c>
      <c r="U33" s="5" t="s">
        <v>60</v>
      </c>
      <c r="V33" s="6">
        <v>4.666666666666667</v>
      </c>
    </row>
    <row r="34" spans="7:22" x14ac:dyDescent="0.25">
      <c r="G34" s="5" t="s">
        <v>57</v>
      </c>
      <c r="H34" s="6">
        <v>18</v>
      </c>
      <c r="L34" s="5" t="s">
        <v>58</v>
      </c>
      <c r="M34" s="6">
        <v>36.80952380952381</v>
      </c>
      <c r="U34" s="5" t="s">
        <v>61</v>
      </c>
      <c r="V34" s="6">
        <v>0</v>
      </c>
    </row>
    <row r="35" spans="7:22" x14ac:dyDescent="0.25">
      <c r="G35" s="5" t="s">
        <v>58</v>
      </c>
      <c r="H35" s="6">
        <v>21</v>
      </c>
      <c r="L35" s="5" t="s">
        <v>59</v>
      </c>
      <c r="M35" s="6">
        <v>39.799999999999997</v>
      </c>
      <c r="U35" s="5" t="s">
        <v>62</v>
      </c>
      <c r="V35" s="6">
        <v>4.666666666666667</v>
      </c>
    </row>
    <row r="36" spans="7:22" x14ac:dyDescent="0.25">
      <c r="G36" s="5" t="s">
        <v>59</v>
      </c>
      <c r="H36" s="6">
        <v>15</v>
      </c>
      <c r="L36" s="5" t="s">
        <v>60</v>
      </c>
      <c r="M36" s="6">
        <v>38</v>
      </c>
      <c r="U36" s="5" t="s">
        <v>63</v>
      </c>
      <c r="V36" s="6">
        <v>2.8</v>
      </c>
    </row>
    <row r="37" spans="7:22" x14ac:dyDescent="0.25">
      <c r="G37" s="5" t="s">
        <v>60</v>
      </c>
      <c r="H37" s="6">
        <v>18</v>
      </c>
      <c r="L37" s="5" t="s">
        <v>61</v>
      </c>
      <c r="M37" s="6">
        <v>36.133333333333333</v>
      </c>
      <c r="U37" s="5" t="s">
        <v>64</v>
      </c>
      <c r="V37" s="6">
        <v>4.2</v>
      </c>
    </row>
    <row r="38" spans="7:22" x14ac:dyDescent="0.25">
      <c r="G38" s="5" t="s">
        <v>61</v>
      </c>
      <c r="H38" s="6">
        <v>15</v>
      </c>
      <c r="L38" s="5" t="s">
        <v>62</v>
      </c>
      <c r="M38" s="6">
        <v>36.555555555555557</v>
      </c>
      <c r="U38" s="5" t="s">
        <v>65</v>
      </c>
      <c r="V38" s="6">
        <v>2.5</v>
      </c>
    </row>
    <row r="39" spans="7:22" x14ac:dyDescent="0.25">
      <c r="G39" s="5" t="s">
        <v>62</v>
      </c>
      <c r="H39" s="6">
        <v>18</v>
      </c>
      <c r="L39" s="5" t="s">
        <v>63</v>
      </c>
      <c r="M39" s="6">
        <v>39.210526315789473</v>
      </c>
      <c r="U39" s="5" t="s">
        <v>66</v>
      </c>
      <c r="V39" s="6">
        <v>5</v>
      </c>
    </row>
    <row r="40" spans="7:22" x14ac:dyDescent="0.25">
      <c r="G40" s="5" t="s">
        <v>63</v>
      </c>
      <c r="H40" s="6">
        <v>19</v>
      </c>
      <c r="L40" s="5" t="s">
        <v>64</v>
      </c>
      <c r="M40" s="6">
        <v>31.1875</v>
      </c>
      <c r="U40" s="5" t="s">
        <v>4</v>
      </c>
      <c r="V40" s="6">
        <v>4.6269841269841274</v>
      </c>
    </row>
    <row r="41" spans="7:22" x14ac:dyDescent="0.25">
      <c r="G41" s="5" t="s">
        <v>64</v>
      </c>
      <c r="H41" s="6">
        <v>16</v>
      </c>
      <c r="L41" s="5" t="s">
        <v>65</v>
      </c>
      <c r="M41" s="6">
        <v>35.153846153846153</v>
      </c>
    </row>
    <row r="42" spans="7:22" x14ac:dyDescent="0.25">
      <c r="G42" s="5" t="s">
        <v>65</v>
      </c>
      <c r="H42" s="6">
        <v>13</v>
      </c>
      <c r="L42" s="5" t="s">
        <v>66</v>
      </c>
      <c r="M42" s="6">
        <v>34.25</v>
      </c>
    </row>
    <row r="43" spans="7:22" x14ac:dyDescent="0.25">
      <c r="G43" s="5" t="s">
        <v>66</v>
      </c>
      <c r="H43" s="6">
        <v>16</v>
      </c>
      <c r="L43" s="5" t="s">
        <v>4</v>
      </c>
      <c r="M43" s="6">
        <v>35.044776119402982</v>
      </c>
    </row>
    <row r="44" spans="7:22" x14ac:dyDescent="0.25">
      <c r="G44" s="5" t="s">
        <v>4</v>
      </c>
      <c r="H44" s="6">
        <v>469</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69F2-F44B-44F0-9E7A-CA7671A7D4EC}">
  <dimension ref="A1:O18"/>
  <sheetViews>
    <sheetView zoomScale="130" zoomScaleNormal="130" workbookViewId="0"/>
  </sheetViews>
  <sheetFormatPr defaultRowHeight="15" x14ac:dyDescent="0.25"/>
  <sheetData>
    <row r="1" spans="1:15" x14ac:dyDescent="0.25">
      <c r="A1" s="9"/>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row r="8" spans="1:15" x14ac:dyDescent="0.25">
      <c r="A8" s="9"/>
      <c r="B8" s="9"/>
      <c r="C8" s="9"/>
      <c r="D8" s="9"/>
      <c r="E8" s="9"/>
      <c r="F8" s="9"/>
      <c r="G8" s="9"/>
      <c r="H8" s="9"/>
      <c r="I8" s="9"/>
      <c r="J8" s="9"/>
      <c r="K8" s="9"/>
      <c r="L8" s="9"/>
      <c r="M8" s="9"/>
      <c r="N8" s="9"/>
      <c r="O8" s="9"/>
    </row>
    <row r="9" spans="1:15" x14ac:dyDescent="0.25">
      <c r="A9" s="9"/>
      <c r="B9" s="9"/>
      <c r="C9" s="9"/>
      <c r="D9" s="9"/>
      <c r="E9" s="9"/>
      <c r="F9" s="9"/>
      <c r="G9" s="9"/>
      <c r="H9" s="9"/>
      <c r="I9" s="9"/>
      <c r="J9" s="9"/>
      <c r="K9" s="9"/>
      <c r="L9" s="9"/>
      <c r="M9" s="9"/>
      <c r="N9" s="9"/>
      <c r="O9" s="9"/>
    </row>
    <row r="10" spans="1:15" x14ac:dyDescent="0.25">
      <c r="A10" s="9"/>
      <c r="B10" s="9"/>
      <c r="C10" s="9"/>
      <c r="D10" s="9"/>
      <c r="E10" s="9"/>
      <c r="F10" s="9"/>
      <c r="G10" s="9"/>
      <c r="H10" s="9"/>
      <c r="I10" s="9"/>
      <c r="J10" s="9"/>
      <c r="K10" s="9"/>
      <c r="L10" s="9"/>
      <c r="M10" s="9"/>
      <c r="N10" s="9"/>
      <c r="O10" s="9"/>
    </row>
    <row r="11" spans="1:15" x14ac:dyDescent="0.25">
      <c r="A11" s="9"/>
      <c r="B11" s="9"/>
      <c r="C11" s="9"/>
      <c r="D11" s="9"/>
      <c r="E11" s="9"/>
      <c r="F11" s="9"/>
      <c r="G11" s="9"/>
      <c r="H11" s="9"/>
      <c r="I11" s="9"/>
      <c r="J11" s="9"/>
      <c r="K11" s="9"/>
      <c r="L11" s="9"/>
      <c r="M11" s="9"/>
      <c r="N11" s="9"/>
      <c r="O11" s="9"/>
    </row>
    <row r="12" spans="1:15" x14ac:dyDescent="0.25">
      <c r="A12" s="9"/>
      <c r="B12" s="9"/>
      <c r="C12" s="9"/>
      <c r="D12" s="9"/>
      <c r="E12" s="9"/>
      <c r="F12" s="9"/>
      <c r="G12" s="9"/>
      <c r="H12" s="9"/>
      <c r="I12" s="9"/>
      <c r="J12" s="9"/>
      <c r="K12" s="9"/>
      <c r="L12" s="9"/>
      <c r="M12" s="9"/>
      <c r="N12" s="9"/>
      <c r="O12" s="9"/>
    </row>
    <row r="13" spans="1:15" x14ac:dyDescent="0.25">
      <c r="A13" s="9"/>
      <c r="B13" s="9"/>
      <c r="C13" s="9"/>
      <c r="D13" s="9"/>
      <c r="E13" s="9"/>
      <c r="F13" s="9"/>
      <c r="G13" s="9"/>
      <c r="H13" s="9"/>
      <c r="I13" s="9"/>
      <c r="J13" s="9"/>
      <c r="K13" s="9"/>
      <c r="L13" s="9"/>
      <c r="M13" s="9"/>
      <c r="N13" s="9"/>
      <c r="O13" s="9"/>
    </row>
    <row r="14" spans="1:15" x14ac:dyDescent="0.25">
      <c r="A14" s="9"/>
      <c r="B14" s="9"/>
      <c r="C14" s="9"/>
      <c r="D14" s="9"/>
      <c r="E14" s="9"/>
      <c r="F14" s="9"/>
      <c r="G14" s="9"/>
      <c r="H14" s="9"/>
      <c r="I14" s="9"/>
      <c r="J14" s="9"/>
      <c r="K14" s="9"/>
      <c r="L14" s="9"/>
      <c r="M14" s="9"/>
      <c r="N14" s="9"/>
      <c r="O14" s="9"/>
    </row>
    <row r="15" spans="1:15" x14ac:dyDescent="0.25">
      <c r="A15" s="9"/>
      <c r="B15" s="9"/>
      <c r="C15" s="9"/>
      <c r="D15" s="9"/>
      <c r="E15" s="9"/>
      <c r="F15" s="9"/>
      <c r="G15" s="9"/>
      <c r="H15" s="9"/>
      <c r="I15" s="9"/>
      <c r="J15" s="9"/>
      <c r="K15" s="9"/>
      <c r="L15" s="9"/>
      <c r="M15" s="9"/>
      <c r="N15" s="9"/>
      <c r="O15" s="9"/>
    </row>
    <row r="16" spans="1:15" x14ac:dyDescent="0.25">
      <c r="A16" s="9"/>
      <c r="B16" s="9"/>
      <c r="C16" s="9"/>
      <c r="D16" s="9"/>
      <c r="E16" s="9"/>
      <c r="F16" s="9"/>
      <c r="G16" s="9"/>
      <c r="H16" s="9"/>
      <c r="I16" s="9"/>
      <c r="J16" s="9"/>
      <c r="K16" s="9"/>
      <c r="L16" s="9"/>
      <c r="M16" s="9"/>
      <c r="N16" s="9"/>
      <c r="O16" s="9"/>
    </row>
    <row r="17" spans="1:15" x14ac:dyDescent="0.25">
      <c r="A17" s="9"/>
      <c r="B17" s="9"/>
      <c r="C17" s="9"/>
      <c r="D17" s="9"/>
      <c r="E17" s="9"/>
      <c r="F17" s="9"/>
      <c r="G17" s="9"/>
      <c r="H17" s="9"/>
      <c r="I17" s="9"/>
      <c r="J17" s="9"/>
      <c r="K17" s="9"/>
      <c r="L17" s="9"/>
      <c r="M17" s="9"/>
      <c r="N17" s="9"/>
      <c r="O17" s="9"/>
    </row>
    <row r="18" spans="1:15" x14ac:dyDescent="0.25">
      <c r="A18" s="9"/>
      <c r="B18" s="9"/>
      <c r="C18" s="9"/>
      <c r="D18" s="9"/>
      <c r="E18" s="9"/>
      <c r="F18" s="9"/>
      <c r="G18" s="9"/>
      <c r="H18" s="9"/>
      <c r="I18" s="9"/>
      <c r="J18" s="9"/>
      <c r="K18" s="9"/>
      <c r="L18" s="9"/>
      <c r="M18" s="9"/>
      <c r="N18" s="9"/>
      <c r="O18"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D80A8-CBAB-41C3-AB13-A24DA5D388B8}">
  <dimension ref="A1:O22"/>
  <sheetViews>
    <sheetView zoomScale="140" zoomScaleNormal="140" workbookViewId="0"/>
  </sheetViews>
  <sheetFormatPr defaultRowHeight="15" x14ac:dyDescent="0.25"/>
  <sheetData>
    <row r="1" spans="1:15" x14ac:dyDescent="0.25">
      <c r="A1" s="10"/>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row r="7" spans="1:15" x14ac:dyDescent="0.25">
      <c r="A7" s="10"/>
      <c r="B7" s="10"/>
      <c r="C7" s="10"/>
      <c r="D7" s="10"/>
      <c r="E7" s="10"/>
      <c r="F7" s="10"/>
      <c r="G7" s="10"/>
      <c r="H7" s="10"/>
      <c r="I7" s="10"/>
      <c r="J7" s="10"/>
      <c r="K7" s="10"/>
      <c r="L7" s="10"/>
      <c r="M7" s="10"/>
      <c r="N7" s="10"/>
      <c r="O7" s="10"/>
    </row>
    <row r="8" spans="1:15" x14ac:dyDescent="0.25">
      <c r="A8" s="10"/>
      <c r="B8" s="10"/>
      <c r="C8" s="10"/>
      <c r="D8" s="10"/>
      <c r="E8" s="10"/>
      <c r="F8" s="10"/>
      <c r="G8" s="10"/>
      <c r="H8" s="10"/>
      <c r="I8" s="10"/>
      <c r="J8" s="10"/>
      <c r="K8" s="10"/>
      <c r="L8" s="10"/>
      <c r="M8" s="10"/>
      <c r="N8" s="10"/>
      <c r="O8" s="10"/>
    </row>
    <row r="9" spans="1:15" x14ac:dyDescent="0.25">
      <c r="A9" s="10"/>
      <c r="B9" s="10"/>
      <c r="C9" s="10"/>
      <c r="D9" s="10"/>
      <c r="E9" s="10"/>
      <c r="F9" s="10"/>
      <c r="G9" s="10"/>
      <c r="H9" s="10"/>
      <c r="I9" s="10"/>
      <c r="J9" s="10"/>
      <c r="K9" s="10"/>
      <c r="L9" s="10"/>
      <c r="M9" s="10"/>
      <c r="N9" s="10"/>
      <c r="O9" s="10"/>
    </row>
    <row r="10" spans="1:15" x14ac:dyDescent="0.25">
      <c r="A10" s="10"/>
      <c r="B10" s="10"/>
      <c r="C10" s="10"/>
      <c r="D10" s="10"/>
      <c r="E10" s="10"/>
      <c r="F10" s="10"/>
      <c r="G10" s="10"/>
      <c r="H10" s="10"/>
      <c r="I10" s="10"/>
      <c r="J10" s="10"/>
      <c r="K10" s="10"/>
      <c r="L10" s="10"/>
      <c r="M10" s="10"/>
      <c r="N10" s="10"/>
      <c r="O10" s="10"/>
    </row>
    <row r="11" spans="1:15" x14ac:dyDescent="0.25">
      <c r="A11" s="10"/>
      <c r="B11" s="10"/>
      <c r="C11" s="10"/>
      <c r="D11" s="10"/>
      <c r="E11" s="10"/>
      <c r="F11" s="10"/>
      <c r="G11" s="10"/>
      <c r="H11" s="10"/>
      <c r="I11" s="10"/>
      <c r="J11" s="10"/>
      <c r="K11" s="10"/>
      <c r="L11" s="10"/>
      <c r="M11" s="10"/>
      <c r="N11" s="10"/>
      <c r="O11" s="10"/>
    </row>
    <row r="12" spans="1:15" x14ac:dyDescent="0.25">
      <c r="A12" s="10"/>
      <c r="B12" s="10"/>
      <c r="C12" s="10"/>
      <c r="D12" s="10"/>
      <c r="E12" s="10"/>
      <c r="F12" s="10"/>
      <c r="G12" s="10"/>
      <c r="H12" s="10"/>
      <c r="I12" s="10"/>
      <c r="J12" s="10"/>
      <c r="K12" s="10"/>
      <c r="L12" s="10"/>
      <c r="M12" s="10"/>
      <c r="N12" s="10"/>
      <c r="O12" s="10"/>
    </row>
    <row r="13" spans="1:15" x14ac:dyDescent="0.25">
      <c r="A13" s="10"/>
      <c r="B13" s="10"/>
      <c r="C13" s="10"/>
      <c r="D13" s="10"/>
      <c r="E13" s="10"/>
      <c r="F13" s="10"/>
      <c r="G13" s="10"/>
      <c r="H13" s="10"/>
      <c r="I13" s="10"/>
      <c r="J13" s="10"/>
      <c r="K13" s="10"/>
      <c r="L13" s="10"/>
      <c r="M13" s="10"/>
      <c r="N13" s="10"/>
      <c r="O13" s="10"/>
    </row>
    <row r="14" spans="1:15" x14ac:dyDescent="0.25">
      <c r="A14" s="10"/>
      <c r="B14" s="10"/>
      <c r="C14" s="10"/>
      <c r="D14" s="10"/>
      <c r="E14" s="10"/>
      <c r="F14" s="10"/>
      <c r="G14" s="10"/>
      <c r="H14" s="10"/>
      <c r="I14" s="10"/>
      <c r="J14" s="10"/>
      <c r="K14" s="10"/>
      <c r="L14" s="10"/>
      <c r="M14" s="10"/>
      <c r="N14" s="10"/>
      <c r="O14" s="10"/>
    </row>
    <row r="15" spans="1:15" x14ac:dyDescent="0.25">
      <c r="A15" s="10"/>
      <c r="B15" s="10"/>
      <c r="C15" s="10"/>
      <c r="D15" s="10"/>
      <c r="E15" s="10"/>
      <c r="F15" s="10"/>
      <c r="G15" s="10"/>
      <c r="H15" s="10"/>
      <c r="I15" s="10"/>
      <c r="J15" s="10"/>
      <c r="K15" s="10"/>
      <c r="L15" s="10"/>
      <c r="M15" s="10"/>
      <c r="N15" s="10"/>
      <c r="O15" s="10"/>
    </row>
    <row r="16" spans="1:15" x14ac:dyDescent="0.25">
      <c r="A16" s="10"/>
      <c r="B16" s="10"/>
      <c r="C16" s="10"/>
      <c r="D16" s="10"/>
      <c r="E16" s="10"/>
      <c r="F16" s="10"/>
      <c r="G16" s="10"/>
      <c r="H16" s="10"/>
      <c r="I16" s="10"/>
      <c r="J16" s="10"/>
      <c r="K16" s="10"/>
      <c r="L16" s="10"/>
      <c r="M16" s="10"/>
      <c r="N16" s="10"/>
      <c r="O16" s="10"/>
    </row>
    <row r="17" spans="1:15" x14ac:dyDescent="0.25">
      <c r="A17" s="10"/>
      <c r="B17" s="10"/>
      <c r="C17" s="10"/>
      <c r="D17" s="10"/>
      <c r="E17" s="10"/>
      <c r="F17" s="10"/>
      <c r="G17" s="10"/>
      <c r="H17" s="10"/>
      <c r="I17" s="10"/>
      <c r="J17" s="10"/>
      <c r="K17" s="10"/>
      <c r="L17" s="10"/>
      <c r="M17" s="10"/>
      <c r="N17" s="10"/>
      <c r="O17" s="10"/>
    </row>
    <row r="18" spans="1:15" x14ac:dyDescent="0.25">
      <c r="A18" s="10"/>
      <c r="B18" s="10"/>
      <c r="C18" s="10"/>
      <c r="D18" s="10"/>
      <c r="E18" s="10"/>
      <c r="F18" s="10"/>
      <c r="G18" s="10"/>
      <c r="H18" s="10"/>
      <c r="I18" s="10"/>
      <c r="J18" s="10"/>
      <c r="K18" s="10"/>
      <c r="L18" s="10"/>
      <c r="M18" s="10"/>
      <c r="N18" s="10"/>
      <c r="O18" s="10"/>
    </row>
    <row r="19" spans="1:15" x14ac:dyDescent="0.25">
      <c r="A19" s="10"/>
      <c r="B19" s="10"/>
      <c r="C19" s="10"/>
      <c r="D19" s="10"/>
      <c r="E19" s="10"/>
      <c r="F19" s="10"/>
      <c r="G19" s="10"/>
      <c r="H19" s="10"/>
      <c r="I19" s="10"/>
      <c r="J19" s="10"/>
      <c r="K19" s="10"/>
      <c r="L19" s="10"/>
      <c r="M19" s="10"/>
      <c r="N19" s="10"/>
      <c r="O19" s="10"/>
    </row>
    <row r="20" spans="1:15" x14ac:dyDescent="0.25">
      <c r="A20" s="10"/>
      <c r="B20" s="10"/>
      <c r="C20" s="10"/>
      <c r="D20" s="10"/>
      <c r="E20" s="10"/>
      <c r="F20" s="10"/>
      <c r="G20" s="10"/>
      <c r="H20" s="10"/>
      <c r="I20" s="10"/>
      <c r="J20" s="10"/>
      <c r="K20" s="10"/>
      <c r="L20" s="10"/>
      <c r="M20" s="10"/>
      <c r="N20" s="10"/>
      <c r="O20" s="10"/>
    </row>
    <row r="21" spans="1:15" x14ac:dyDescent="0.25">
      <c r="A21" s="10"/>
      <c r="B21" s="10"/>
      <c r="C21" s="10"/>
      <c r="D21" s="10"/>
      <c r="E21" s="10"/>
      <c r="F21" s="10"/>
      <c r="G21" s="10"/>
      <c r="H21" s="10"/>
      <c r="I21" s="10"/>
      <c r="J21" s="10"/>
      <c r="K21" s="10"/>
      <c r="L21" s="10"/>
      <c r="M21" s="10"/>
      <c r="N21" s="10"/>
      <c r="O21" s="10"/>
    </row>
    <row r="22" spans="1:15" x14ac:dyDescent="0.25">
      <c r="A22" s="10"/>
      <c r="B22" s="10"/>
      <c r="C22" s="10"/>
      <c r="D22" s="10"/>
      <c r="E22" s="10"/>
      <c r="F22" s="10"/>
      <c r="G22" s="10"/>
      <c r="H22" s="10"/>
      <c r="I22" s="10"/>
      <c r="J22" s="10"/>
      <c r="K22" s="10"/>
      <c r="L22" s="10"/>
      <c r="M22" s="10"/>
      <c r="N22" s="10"/>
      <c r="O22"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63EBDF5-C3BF-4F34-B144-D89A4038CC09}">
  <ds:schemaRefs/>
</ds:datastoreItem>
</file>

<file path=customXml/itemProps2.xml><?xml version="1.0" encoding="utf-8"?>
<ds:datastoreItem xmlns:ds="http://schemas.openxmlformats.org/officeDocument/2006/customXml" ds:itemID="{1B59CCD9-68A6-45C7-9009-C81404F5ECE3}">
  <ds:schemaRefs/>
</ds:datastoreItem>
</file>

<file path=customXml/itemProps3.xml><?xml version="1.0" encoding="utf-8"?>
<ds:datastoreItem xmlns:ds="http://schemas.openxmlformats.org/officeDocument/2006/customXml" ds:itemID="{88A8FB4E-4ACF-490A-9FE9-E4487A6565F6}">
  <ds:schemaRefs/>
</ds:datastoreItem>
</file>

<file path=customXml/itemProps4.xml><?xml version="1.0" encoding="utf-8"?>
<ds:datastoreItem xmlns:ds="http://schemas.openxmlformats.org/officeDocument/2006/customXml" ds:itemID="{FAA093D5-49EB-4020-9E2E-125A33D166C4}">
  <ds:schemaRefs/>
</ds:datastoreItem>
</file>

<file path=customXml/itemProps5.xml><?xml version="1.0" encoding="utf-8"?>
<ds:datastoreItem xmlns:ds="http://schemas.openxmlformats.org/officeDocument/2006/customXml" ds:itemID="{E885F52F-F8D5-406C-A387-9B2E15C32F03}">
  <ds:schemaRefs/>
</ds:datastoreItem>
</file>

<file path=customXml/itemProps6.xml><?xml version="1.0" encoding="utf-8"?>
<ds:datastoreItem xmlns:ds="http://schemas.openxmlformats.org/officeDocument/2006/customXml" ds:itemID="{2D605C28-E18A-486B-A3A1-850C33CDA5FF}">
  <ds:schemaRefs/>
</ds:datastoreItem>
</file>

<file path=customXml/itemProps7.xml><?xml version="1.0" encoding="utf-8"?>
<ds:datastoreItem xmlns:ds="http://schemas.openxmlformats.org/officeDocument/2006/customXml" ds:itemID="{17A3F8CC-0BDF-430B-9C3F-21BF7F697C50}">
  <ds:schemaRefs/>
</ds:datastoreItem>
</file>

<file path=customXml/itemProps8.xml><?xml version="1.0" encoding="utf-8"?>
<ds:datastoreItem xmlns:ds="http://schemas.openxmlformats.org/officeDocument/2006/customXml" ds:itemID="{2C52CAA5-B89E-4AF1-8AB7-90C85337EE11}">
  <ds:schemaRefs/>
</ds:datastoreItem>
</file>

<file path=customXml/itemProps9.xml><?xml version="1.0" encoding="utf-8"?>
<ds:datastoreItem xmlns:ds="http://schemas.openxmlformats.org/officeDocument/2006/customXml" ds:itemID="{AAF1283C-2FB5-44E5-9D1D-3675738B667B}">
  <ds:schemaRefs/>
</ds:datastoreItem>
</file>

<file path=customXml/itemProps10.xml><?xml version="1.0" encoding="utf-8"?>
<ds:datastoreItem xmlns:ds="http://schemas.openxmlformats.org/officeDocument/2006/customXml" ds:itemID="{01A8659A-5C78-4977-A7B6-C693EC0DDB6A}">
  <ds:schemaRefs/>
</ds:datastoreItem>
</file>

<file path=customXml/itemProps11.xml><?xml version="1.0" encoding="utf-8"?>
<ds:datastoreItem xmlns:ds="http://schemas.openxmlformats.org/officeDocument/2006/customXml" ds:itemID="{F46CA28E-568B-428A-8972-46491E6E95AC}">
  <ds:schemaRefs/>
</ds:datastoreItem>
</file>

<file path=customXml/itemProps12.xml><?xml version="1.0" encoding="utf-8"?>
<ds:datastoreItem xmlns:ds="http://schemas.openxmlformats.org/officeDocument/2006/customXml" ds:itemID="{B3DE17E1-5473-4B4F-9F53-ECC1B9586374}">
  <ds:schemaRefs/>
</ds:datastoreItem>
</file>

<file path=customXml/itemProps13.xml><?xml version="1.0" encoding="utf-8"?>
<ds:datastoreItem xmlns:ds="http://schemas.openxmlformats.org/officeDocument/2006/customXml" ds:itemID="{05A9FB1F-EC3E-4833-82A1-F846BD018E61}">
  <ds:schemaRefs/>
</ds:datastoreItem>
</file>

<file path=customXml/itemProps14.xml><?xml version="1.0" encoding="utf-8"?>
<ds:datastoreItem xmlns:ds="http://schemas.openxmlformats.org/officeDocument/2006/customXml" ds:itemID="{4121E7E1-AF30-4BEF-9E45-22E6CEE73427}">
  <ds:schemaRefs>
    <ds:schemaRef ds:uri="http://schemas.microsoft.com/DataMashup"/>
  </ds:schemaRefs>
</ds:datastoreItem>
</file>

<file path=customXml/itemProps15.xml><?xml version="1.0" encoding="utf-8"?>
<ds:datastoreItem xmlns:ds="http://schemas.openxmlformats.org/officeDocument/2006/customXml" ds:itemID="{E7803FBF-BC06-45C7-99F6-2977C04FE711}">
  <ds:schemaRefs/>
</ds:datastoreItem>
</file>

<file path=customXml/itemProps16.xml><?xml version="1.0" encoding="utf-8"?>
<ds:datastoreItem xmlns:ds="http://schemas.openxmlformats.org/officeDocument/2006/customXml" ds:itemID="{0C3123B5-0403-49BA-BC88-82D53221E477}">
  <ds:schemaRefs/>
</ds:datastoreItem>
</file>

<file path=customXml/itemProps17.xml><?xml version="1.0" encoding="utf-8"?>
<ds:datastoreItem xmlns:ds="http://schemas.openxmlformats.org/officeDocument/2006/customXml" ds:itemID="{BA7CD0B2-CA25-481F-8682-44CD492E4F11}">
  <ds:schemaRefs/>
</ds:datastoreItem>
</file>

<file path=customXml/itemProps18.xml><?xml version="1.0" encoding="utf-8"?>
<ds:datastoreItem xmlns:ds="http://schemas.openxmlformats.org/officeDocument/2006/customXml" ds:itemID="{82D539FD-2F07-49E5-A1C2-331B214231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Patient satisfaction score </vt:lpstr>
      <vt:lpstr>Pivot Report</vt:lpstr>
      <vt:lpstr>Daily ER No of patient</vt:lpstr>
      <vt:lpstr>Daily patient waiting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2026-06-09T00:47:58Z</dcterms:created>
  <dcterms:modified xsi:type="dcterms:W3CDTF">2026-06-10T16:00:06Z</dcterms:modified>
</cp:coreProperties>
</file>